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torage\Kostas\Research\Rentizelas\Case_Study_Aluminium\"/>
    </mc:Choice>
  </mc:AlternateContent>
  <xr:revisionPtr revIDLastSave="0" documentId="13_ncr:1_{D3D8A997-7F13-415C-9180-35633A0E6153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Φύλλο1" sheetId="1" r:id="rId1"/>
    <sheet name="Φύλλο2" sheetId="2" r:id="rId2"/>
    <sheet name="Final_for_Paper_Chart_Numbe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8" i="3" l="1"/>
  <c r="J68" i="3"/>
  <c r="I68" i="3"/>
  <c r="H68" i="3"/>
  <c r="F68" i="3"/>
  <c r="C68" i="3"/>
  <c r="M67" i="3"/>
  <c r="O39" i="3"/>
  <c r="N39" i="3"/>
  <c r="P39" i="3"/>
  <c r="P39" i="2"/>
  <c r="O39" i="2"/>
  <c r="N39" i="2"/>
</calcChain>
</file>

<file path=xl/sharedStrings.xml><?xml version="1.0" encoding="utf-8"?>
<sst xmlns="http://schemas.openxmlformats.org/spreadsheetml/2006/main" count="166" uniqueCount="88">
  <si>
    <t>(pyjags) cflorios@LAPTOP-FSK795HM:~/pyjags/pyhags_demo2$ ls *.py</t>
  </si>
  <si>
    <t>test1_kostas.py             test_CIRCULARITY_Market_rev.py  test_ENVIRONMENTAL_Market.py  test_SOCIAL_Orlog.py</t>
  </si>
  <si>
    <t>test9_kostas.py             test_CIRCULARITY_Orlog.py       test_ENVIRONMENTAL_Orlog.py   test_model.py</t>
  </si>
  <si>
    <t>test_CIRCULARITY_Market.py  test_Desalination_Ibrahim.py    test_SOCIAL_Market.py         test_modules.py</t>
  </si>
  <si>
    <t>(pyjags) cflorios@LAPTOP-FSK795HM:~/pyjags/pyhags_demo2$ python test_CIRCULARITY_Market_rev.py</t>
  </si>
  <si>
    <t>[[1. 4. 3. 5. 2. 9. 7. 6. 4.]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</si>
  <si>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</si>
  <si>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</si>
  <si>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</si>
  <si>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</si>
  <si>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</si>
  <si>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</si>
  <si>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</si>
  <si>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</si>
  <si>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</si>
  <si>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 xml:space="preserve"> [2. 1. 4. 3. 5. 7. 9. 8. 6.]</t>
  </si>
  <si>
    <t xml:space="preserve"> [1. 3. 4. 4. 4. 2. 3. 9. 5.]</t>
  </si>
  <si>
    <t xml:space="preserve"> [9. 1. 6. 4. 5. 7. 8. 2. 3.]</t>
  </si>
  <si>
    <t xml:space="preserve"> [7. 3. 3. 1. 2. 3. 2. 5. 3.]</t>
  </si>
  <si>
    <t xml:space="preserve"> [3. 1. 4. 4. 6. 3. 9. 5. 3.]</t>
  </si>
  <si>
    <t xml:space="preserve"> [5. 4. 2. 4. 6. 4. 4. 5. 1.]</t>
  </si>
  <si>
    <t xml:space="preserve"> [9. 8. 7. 1. 4. 6. 2. 3. 5.]</t>
  </si>
  <si>
    <t xml:space="preserve"> [9. 5. 1. 1. 2. 5. 5. 5. 3.]</t>
  </si>
  <si>
    <t xml:space="preserve"> [6. 4. 3. 2. 3. 9. 3. 4. 1.]</t>
  </si>
  <si>
    <t xml:space="preserve"> [4. 1. 6. 7. 4. 2. 3. 2. 3.]</t>
  </si>
  <si>
    <t xml:space="preserve"> [1. 2. 4. 2. 3. 5. 6. 5. 3.]</t>
  </si>
  <si>
    <t xml:space="preserve"> [5. 6. 8. 5. 7. 1. 6. 6. 9.]</t>
  </si>
  <si>
    <t xml:space="preserve"> [9. 2. 4. 3. 5. 1. 6. 7. 8.]</t>
  </si>
  <si>
    <t xml:space="preserve"> [5. 2. 7. 3. 3. 1. 2. 3. 5.]]</t>
  </si>
  <si>
    <t>[[9. 6. 7. 4. 5. 1. 3. 7. 8.]</t>
  </si>
  <si>
    <t xml:space="preserve"> [8. 9. 6. 7. 5. 4. 1. 2. 3.]</t>
  </si>
  <si>
    <t xml:space="preserve"> [9. 7. 6. 6. 6. 8. 7. 1. 6.]</t>
  </si>
  <si>
    <t xml:space="preserve"> [1. 9. 4. 6. 5. 3. 2. 8. 7.]</t>
  </si>
  <si>
    <t xml:space="preserve"> [1. 7. 7. 8. 7. 6. 7. 5. 6.]</t>
  </si>
  <si>
    <t xml:space="preserve"> [3. 2. 5. 4. 5. 5. 1. 4. 5.]</t>
  </si>
  <si>
    <t xml:space="preserve"> [3. 5. 1. 3. 5. 5. 4. 2. 3.]</t>
  </si>
  <si>
    <t xml:space="preserve"> [1. 2. 3. 9. 6. 4. 8. 7. 5.]</t>
  </si>
  <si>
    <t xml:space="preserve"> [1. 9. 9. 9. 8. 7. 8. 8. 6.]</t>
  </si>
  <si>
    <t xml:space="preserve"> [4. 6. 7. 8. 7. 1. 7. 6. 9.]</t>
  </si>
  <si>
    <t xml:space="preserve"> [4. 7. 2. 1. 4. 6. 5. 6. 5.]</t>
  </si>
  <si>
    <t xml:space="preserve"> [6. 5. 3. 5. 4. 2. 1. 2. 4.]</t>
  </si>
  <si>
    <t xml:space="preserve"> [6. 7. 7. 5. 7. 9. 6. 6. 1.]</t>
  </si>
  <si>
    <t xml:space="preserve"> [1. 8. 7. 6. 5. 9. 2. 3. 4.]</t>
  </si>
  <si>
    <t xml:space="preserve"> [3. 5. 1. 3. 3. 6. 5. 4. 2.]]</t>
  </si>
  <si>
    <t>adapting: iterations 4000 of 4000, elapsed 0:00:00, remaining 0:00:00</t>
  </si>
  <si>
    <t>sampling: iterations 22000 of 22000, elapsed 0:00:01, remaining 0:00:00</t>
  </si>
  <si>
    <t>The average of the aggregated weight distribution is: [0.09074636 0.13994848 0.10633399 0.13054295 0.11912709 0.10842534</t>
  </si>
  <si>
    <t xml:space="preserve"> 0.09489343 0.09836035 0.11162202]</t>
  </si>
  <si>
    <t>(pyjags) efsimos@DESKTOP-2VUASBO:~/pyjags/pyhags_demo2$ python test_CIRCULARITY_Market_rev2.py</t>
  </si>
  <si>
    <t>/home/efsimos/miniconda3/envs/pyjags/lib/python3.10/site-packages/arviz/plots/plot_utils.py:11: UserWarning: A NumPy version &gt;=1.23.5 and &lt;2.5.0 is required for this version of SciPy (detected version 1.23.4)</t>
  </si>
  <si>
    <t xml:space="preserve">  from scipy.stats import mode, rankdata</t>
  </si>
  <si>
    <t>sampling: iterations 22000 of 22000, elapsed 0:00:00, remaining 0:00:00</t>
  </si>
  <si>
    <t>The average of the aggregated weight distribution is: [0.08869304 0.14215126 0.10757589 0.12885058 0.11956916 0.1090118</t>
  </si>
  <si>
    <t xml:space="preserve"> 0.09376572 0.09755238 0.11283017]</t>
  </si>
  <si>
    <t>Confidence Level [50, 60]</t>
  </si>
  <si>
    <t>Confidence Level (60, 80]</t>
  </si>
  <si>
    <t>Confidence Level (80, 100]</t>
  </si>
  <si>
    <t>[[0.   0.   0.   0.   0.   0.   0.   0.   0.  ]</t>
  </si>
  <si>
    <t xml:space="preserve"> [1.   0.   0.96 0.74 0.88 0.96 1.   1.   0.94]</t>
  </si>
  <si>
    <t xml:space="preserve"> [0.88 0.   0.   0.   0.   0.   0.81 0.73 0.  ]</t>
  </si>
  <si>
    <t xml:space="preserve"> [0.99 0.   0.89 0.   0.71 0.86 0.99 0.97 0.82]</t>
  </si>
  <si>
    <t xml:space="preserve"> [0.98 0.   0.75 0.   0.   0.72 0.93 0.89 0.65]</t>
  </si>
  <si>
    <t xml:space="preserve"> [0.9  0.   0.56 0.   0.   0.   0.81 0.76 0.  ]</t>
  </si>
  <si>
    <t xml:space="preserve"> [0.64 0.   0.   0.   0.   0.   0.   0.   0.  ]</t>
  </si>
  <si>
    <t xml:space="preserve"> [0.72 0.   0.   0.   0.   0.   0.59 0.   0.  ]</t>
  </si>
  <si>
    <t xml:space="preserve"> [0.94 0.   0.63 0.   0.   0.59 0.88 0.82 0.  ]]</t>
  </si>
  <si>
    <t>(pyjags) cflorios@LAPTOP-FSK795HM:~/pyjags/pyhags_demo2/pyhags_demo3$ python test_CIRCULARITY_Market_rev3.py</t>
  </si>
  <si>
    <t>The average of the aggregated weight distribution is: [0.0887696  0.14188752 0.10727011 0.12818789 0.11850305 0.10821544</t>
  </si>
  <si>
    <t xml:space="preserve"> 0.09541992 0.09966331 0.11208315]</t>
  </si>
  <si>
    <t xml:space="preserve"> [1.   0.   0.96 0.76 0.88 0.96 1.   0.99 0.94]</t>
  </si>
  <si>
    <t xml:space="preserve"> [0.89 0.   0.   0.   0.   0.   0.76 0.68 0.  ]</t>
  </si>
  <si>
    <t xml:space="preserve"> [1.   0.   0.86 0.   0.7  0.86 0.98 0.96 0.8 ]</t>
  </si>
  <si>
    <t xml:space="preserve"> [0.97 0.   0.74 0.   0.   0.74 0.92 0.86 0.64]</t>
  </si>
  <si>
    <t xml:space="preserve"> [0.89 0.   0.52 0.   0.   0.   0.79 0.68 0.  ]</t>
  </si>
  <si>
    <t xml:space="preserve"> [0.69 0.   0.   0.   0.   0.   0.   0.   0.  ]</t>
  </si>
  <si>
    <t xml:space="preserve"> [0.76 0.   0.   0.   0.   0.   0.6  0.   0.  ]</t>
  </si>
  <si>
    <t xml:space="preserve"> [0.93 0.   0.6  0.   0.   0.59 0.84 0.77 0.  ]]</t>
  </si>
  <si>
    <t>(pyjags) cflorios@LAPTOP-FSK795HM:~/pyjags/pyhags_demo2/pyhags_demo3$ explorer.exe .</t>
  </si>
  <si>
    <t>(pyjags) cflorios@LAPTOP-FSK795HM:~/pyjags/pyhags_demo2/pyhags_demo3$</t>
  </si>
  <si>
    <t>W1</t>
  </si>
  <si>
    <t>W2</t>
  </si>
  <si>
    <t>W3</t>
  </si>
  <si>
    <t>W4</t>
  </si>
  <si>
    <t>W5</t>
  </si>
  <si>
    <t>W6</t>
  </si>
  <si>
    <t>W7</t>
  </si>
  <si>
    <t>W8</t>
  </si>
  <si>
    <t>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</si>
</sst>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6" borderId="0" xfId="0" applyNumberFormat="1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Circularity Weights all DMs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Φύλλο1!$M$6:$U$6</c:f>
              <c:strCache>
                <c:ptCount val="9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  <c:pt idx="7">
                  <c:v>C8</c:v>
                </c:pt>
                <c:pt idx="8">
                  <c:v>C9</c:v>
                </c:pt>
              </c:strCache>
            </c:strRef>
          </c:cat>
          <c:val>
            <c:numRef>
              <c:f>Φύλλο1!$M$7:$U$7</c:f>
              <c:numCache>
                <c:formatCode>0.0000</c:formatCode>
                <c:ptCount val="9"/>
                <c:pt idx="0">
                  <c:v>9.0746359999999998E-2</c:v>
                </c:pt>
                <c:pt idx="1">
                  <c:v>0.13994847999999999</c:v>
                </c:pt>
                <c:pt idx="2">
                  <c:v>0.10633399</c:v>
                </c:pt>
                <c:pt idx="3">
                  <c:v>0.13054294999999999</c:v>
                </c:pt>
                <c:pt idx="4">
                  <c:v>0.11912709</c:v>
                </c:pt>
                <c:pt idx="5">
                  <c:v>0.10842534</c:v>
                </c:pt>
                <c:pt idx="6">
                  <c:v>9.4893430000000001E-2</c:v>
                </c:pt>
                <c:pt idx="7">
                  <c:v>9.8360349999999999E-2</c:v>
                </c:pt>
                <c:pt idx="8">
                  <c:v>0.11162202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F-4FB2-9BB1-05D7B534B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58319"/>
        <c:axId val="206072239"/>
      </c:barChart>
      <c:catAx>
        <c:axId val="20605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72239"/>
        <c:crosses val="autoZero"/>
        <c:auto val="1"/>
        <c:lblAlgn val="ctr"/>
        <c:lblOffset val="100"/>
        <c:noMultiLvlLbl val="0"/>
      </c:catAx>
      <c:valAx>
        <c:axId val="20607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5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7</xdr:row>
      <xdr:rowOff>185737</xdr:rowOff>
    </xdr:from>
    <xdr:to>
      <xdr:col>19</xdr:col>
      <xdr:colOff>323850</xdr:colOff>
      <xdr:row>22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92D026-EDEE-453B-A278-71A6C8C11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9525</xdr:colOff>
      <xdr:row>8</xdr:row>
      <xdr:rowOff>28575</xdr:rowOff>
    </xdr:from>
    <xdr:to>
      <xdr:col>32</xdr:col>
      <xdr:colOff>466725</xdr:colOff>
      <xdr:row>33</xdr:row>
      <xdr:rowOff>182118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B88AD3-0678-0288-1083-55C7DDFCE145}"/>
            </a:ext>
            <a:ext uri="{147F2762-F138-4A5C-976F-8EAC2B608ADB}">
              <a16:predDERef xmlns:a16="http://schemas.microsoft.com/office/drawing/2014/main" pred="{4692D026-EDEE-453B-A278-71A6C8C11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1525" y="1552575"/>
          <a:ext cx="7772400" cy="49160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50</xdr:row>
      <xdr:rowOff>0</xdr:rowOff>
    </xdr:from>
    <xdr:to>
      <xdr:col>19</xdr:col>
      <xdr:colOff>211931</xdr:colOff>
      <xdr:row>89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2D5A96-971E-4F10-1930-0D3B1B7C9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80094" y="9525000"/>
          <a:ext cx="7772400" cy="777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opLeftCell="A21" workbookViewId="0">
      <selection activeCell="M25" sqref="M25"/>
    </sheetView>
  </sheetViews>
  <sheetFormatPr defaultRowHeight="15" x14ac:dyDescent="0.25"/>
  <sheetData>
    <row r="1" spans="1:21" x14ac:dyDescent="0.25">
      <c r="A1" t="s">
        <v>0</v>
      </c>
    </row>
    <row r="2" spans="1:21" x14ac:dyDescent="0.25">
      <c r="A2" t="s">
        <v>1</v>
      </c>
      <c r="M2" s="1">
        <v>9.1448929999999998E-2</v>
      </c>
      <c r="N2" s="1">
        <v>0.14408396000000001</v>
      </c>
      <c r="O2" s="1">
        <v>0.10764021</v>
      </c>
      <c r="P2" s="1">
        <v>0.12609493999999999</v>
      </c>
      <c r="Q2" s="1">
        <v>0.1175162</v>
      </c>
      <c r="R2" s="1">
        <v>0.10769423</v>
      </c>
      <c r="S2" s="1">
        <v>9.5754489999999998E-2</v>
      </c>
      <c r="T2" s="1">
        <v>9.9101549999999997E-2</v>
      </c>
      <c r="U2" s="1">
        <v>0.11066549000000001</v>
      </c>
    </row>
    <row r="3" spans="1:21" x14ac:dyDescent="0.25">
      <c r="A3" t="s">
        <v>2</v>
      </c>
    </row>
    <row r="4" spans="1:21" x14ac:dyDescent="0.25">
      <c r="A4" t="s">
        <v>3</v>
      </c>
    </row>
    <row r="5" spans="1:21" x14ac:dyDescent="0.25">
      <c r="A5" t="s">
        <v>4</v>
      </c>
    </row>
    <row r="6" spans="1:21" x14ac:dyDescent="0.25">
      <c r="A6" t="s">
        <v>5</v>
      </c>
      <c r="M6" t="s">
        <v>6</v>
      </c>
      <c r="N6" t="s">
        <v>7</v>
      </c>
      <c r="O6" t="s">
        <v>8</v>
      </c>
      <c r="P6" t="s">
        <v>9</v>
      </c>
      <c r="Q6" t="s">
        <v>10</v>
      </c>
      <c r="R6" t="s">
        <v>11</v>
      </c>
      <c r="S6" t="s">
        <v>12</v>
      </c>
      <c r="T6" t="s">
        <v>13</v>
      </c>
      <c r="U6" t="s">
        <v>14</v>
      </c>
    </row>
    <row r="7" spans="1:21" x14ac:dyDescent="0.25">
      <c r="A7" t="s">
        <v>15</v>
      </c>
      <c r="M7" s="1">
        <v>9.0746359999999998E-2</v>
      </c>
      <c r="N7" s="1">
        <v>0.13994847999999999</v>
      </c>
      <c r="O7" s="1">
        <v>0.10633399</v>
      </c>
      <c r="P7" s="1">
        <v>0.13054294999999999</v>
      </c>
      <c r="Q7" s="1">
        <v>0.11912709</v>
      </c>
      <c r="R7" s="1">
        <v>0.10842534</v>
      </c>
      <c r="S7" s="1">
        <v>9.4893430000000001E-2</v>
      </c>
      <c r="T7" s="1">
        <v>9.8360349999999999E-2</v>
      </c>
      <c r="U7" s="1">
        <v>0.11162202</v>
      </c>
    </row>
    <row r="8" spans="1:21" x14ac:dyDescent="0.25">
      <c r="A8" t="s">
        <v>16</v>
      </c>
    </row>
    <row r="9" spans="1:21" x14ac:dyDescent="0.25">
      <c r="A9" t="s">
        <v>17</v>
      </c>
    </row>
    <row r="10" spans="1:21" x14ac:dyDescent="0.25">
      <c r="A10" t="s">
        <v>18</v>
      </c>
    </row>
    <row r="11" spans="1:21" x14ac:dyDescent="0.25">
      <c r="A11" t="s">
        <v>19</v>
      </c>
    </row>
    <row r="12" spans="1:21" x14ac:dyDescent="0.25">
      <c r="A12" t="s">
        <v>20</v>
      </c>
    </row>
    <row r="13" spans="1:21" x14ac:dyDescent="0.25">
      <c r="A13" t="s">
        <v>21</v>
      </c>
    </row>
    <row r="14" spans="1:21" x14ac:dyDescent="0.25">
      <c r="A14" t="s">
        <v>22</v>
      </c>
    </row>
    <row r="15" spans="1:21" x14ac:dyDescent="0.25">
      <c r="A15" t="s">
        <v>23</v>
      </c>
    </row>
    <row r="16" spans="1:21" x14ac:dyDescent="0.25">
      <c r="A16" t="s">
        <v>24</v>
      </c>
    </row>
    <row r="17" spans="1:13" x14ac:dyDescent="0.25">
      <c r="A17" t="s">
        <v>25</v>
      </c>
    </row>
    <row r="18" spans="1:13" x14ac:dyDescent="0.25">
      <c r="A18" t="s">
        <v>26</v>
      </c>
    </row>
    <row r="19" spans="1:13" x14ac:dyDescent="0.25">
      <c r="A19" t="s">
        <v>27</v>
      </c>
    </row>
    <row r="20" spans="1:13" x14ac:dyDescent="0.25">
      <c r="A20" t="s">
        <v>28</v>
      </c>
    </row>
    <row r="21" spans="1:13" x14ac:dyDescent="0.25">
      <c r="A21" t="s">
        <v>29</v>
      </c>
    </row>
    <row r="22" spans="1:13" x14ac:dyDescent="0.25">
      <c r="A22" t="s">
        <v>30</v>
      </c>
    </row>
    <row r="23" spans="1:13" x14ac:dyDescent="0.25">
      <c r="A23" t="s">
        <v>31</v>
      </c>
    </row>
    <row r="24" spans="1:13" x14ac:dyDescent="0.25">
      <c r="A24" t="s">
        <v>32</v>
      </c>
    </row>
    <row r="25" spans="1:13" x14ac:dyDescent="0.25">
      <c r="A25" t="s">
        <v>33</v>
      </c>
      <c r="M25" s="1">
        <v>9.0746359999999998E-2</v>
      </c>
    </row>
    <row r="26" spans="1:13" x14ac:dyDescent="0.25">
      <c r="A26" t="s">
        <v>34</v>
      </c>
      <c r="M26" s="1">
        <v>0.13994847999999999</v>
      </c>
    </row>
    <row r="27" spans="1:13" x14ac:dyDescent="0.25">
      <c r="A27" t="s">
        <v>35</v>
      </c>
      <c r="M27" s="1">
        <v>0.10633399</v>
      </c>
    </row>
    <row r="28" spans="1:13" x14ac:dyDescent="0.25">
      <c r="A28" t="s">
        <v>36</v>
      </c>
      <c r="M28" s="1">
        <v>0.13054294999999999</v>
      </c>
    </row>
    <row r="29" spans="1:13" x14ac:dyDescent="0.25">
      <c r="A29" t="s">
        <v>37</v>
      </c>
      <c r="M29" s="1">
        <v>0.11912709</v>
      </c>
    </row>
    <row r="30" spans="1:13" x14ac:dyDescent="0.25">
      <c r="A30" t="s">
        <v>38</v>
      </c>
      <c r="M30" s="1">
        <v>0.10842534</v>
      </c>
    </row>
    <row r="31" spans="1:13" x14ac:dyDescent="0.25">
      <c r="A31" t="s">
        <v>39</v>
      </c>
      <c r="M31" s="1">
        <v>9.4893430000000001E-2</v>
      </c>
    </row>
    <row r="32" spans="1:13" x14ac:dyDescent="0.25">
      <c r="A32" t="s">
        <v>40</v>
      </c>
      <c r="M32" s="1">
        <v>9.8360349999999999E-2</v>
      </c>
    </row>
    <row r="33" spans="1:13" x14ac:dyDescent="0.25">
      <c r="A33" t="s">
        <v>41</v>
      </c>
      <c r="M33" s="1">
        <v>0.11162202</v>
      </c>
    </row>
    <row r="34" spans="1:13" x14ac:dyDescent="0.25">
      <c r="A34" t="s">
        <v>42</v>
      </c>
    </row>
    <row r="35" spans="1:13" x14ac:dyDescent="0.25">
      <c r="A35" t="s">
        <v>43</v>
      </c>
    </row>
    <row r="36" spans="1:13" x14ac:dyDescent="0.25">
      <c r="A36" t="s">
        <v>44</v>
      </c>
    </row>
    <row r="37" spans="1:13" x14ac:dyDescent="0.25">
      <c r="A37" t="s">
        <v>45</v>
      </c>
    </row>
    <row r="38" spans="1:13" x14ac:dyDescent="0.25">
      <c r="A38" t="s">
        <v>46</v>
      </c>
    </row>
    <row r="39" spans="1:13" x14ac:dyDescent="0.25">
      <c r="A39" t="s">
        <v>47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2F58-9989-4C14-A1E9-CE823DC07921}">
  <dimension ref="A1:P46"/>
  <sheetViews>
    <sheetView topLeftCell="A33" workbookViewId="0">
      <selection activeCell="P40" sqref="P40"/>
    </sheetView>
  </sheetViews>
  <sheetFormatPr defaultRowHeight="15" x14ac:dyDescent="0.25"/>
  <cols>
    <col min="1" max="1" width="73.42578125" customWidth="1"/>
    <col min="14" max="14" width="36.5703125" bestFit="1" customWidth="1"/>
    <col min="15" max="15" width="22.85546875" bestFit="1" customWidth="1"/>
    <col min="16" max="16" width="23.85546875" bestFit="1" customWidth="1"/>
  </cols>
  <sheetData>
    <row r="1" spans="1:1" ht="30" x14ac:dyDescent="0.25">
      <c r="A1" s="2" t="s">
        <v>48</v>
      </c>
    </row>
    <row r="2" spans="1:1" ht="45" x14ac:dyDescent="0.25">
      <c r="A2" s="2" t="s">
        <v>49</v>
      </c>
    </row>
    <row r="3" spans="1:1" x14ac:dyDescent="0.25">
      <c r="A3" s="2" t="s">
        <v>50</v>
      </c>
    </row>
    <row r="4" spans="1:1" x14ac:dyDescent="0.25">
      <c r="A4" s="2" t="s">
        <v>5</v>
      </c>
    </row>
    <row r="5" spans="1:1" x14ac:dyDescent="0.25">
      <c r="A5" s="2" t="s">
        <v>15</v>
      </c>
    </row>
    <row r="6" spans="1:1" x14ac:dyDescent="0.25">
      <c r="A6" s="2" t="s">
        <v>16</v>
      </c>
    </row>
    <row r="7" spans="1:1" x14ac:dyDescent="0.25">
      <c r="A7" s="2" t="s">
        <v>17</v>
      </c>
    </row>
    <row r="8" spans="1:1" x14ac:dyDescent="0.25">
      <c r="A8" s="2" t="s">
        <v>18</v>
      </c>
    </row>
    <row r="9" spans="1:1" x14ac:dyDescent="0.25">
      <c r="A9" s="2" t="s">
        <v>19</v>
      </c>
    </row>
    <row r="10" spans="1:1" x14ac:dyDescent="0.25">
      <c r="A10" s="2" t="s">
        <v>20</v>
      </c>
    </row>
    <row r="11" spans="1:1" x14ac:dyDescent="0.25">
      <c r="A11" s="2" t="s">
        <v>21</v>
      </c>
    </row>
    <row r="12" spans="1:1" x14ac:dyDescent="0.25">
      <c r="A12" s="2" t="s">
        <v>22</v>
      </c>
    </row>
    <row r="13" spans="1:1" x14ac:dyDescent="0.25">
      <c r="A13" s="2" t="s">
        <v>23</v>
      </c>
    </row>
    <row r="14" spans="1:1" x14ac:dyDescent="0.25">
      <c r="A14" s="2" t="s">
        <v>24</v>
      </c>
    </row>
    <row r="15" spans="1:1" x14ac:dyDescent="0.25">
      <c r="A15" s="2" t="s">
        <v>25</v>
      </c>
    </row>
    <row r="16" spans="1:1" x14ac:dyDescent="0.25">
      <c r="A16" s="2" t="s">
        <v>26</v>
      </c>
    </row>
    <row r="17" spans="1:1" x14ac:dyDescent="0.25">
      <c r="A17" s="2" t="s">
        <v>27</v>
      </c>
    </row>
    <row r="18" spans="1:1" x14ac:dyDescent="0.25">
      <c r="A18" s="2" t="s">
        <v>28</v>
      </c>
    </row>
    <row r="19" spans="1:1" x14ac:dyDescent="0.25">
      <c r="A19" s="2" t="s">
        <v>29</v>
      </c>
    </row>
    <row r="20" spans="1:1" x14ac:dyDescent="0.25">
      <c r="A20" s="2" t="s">
        <v>30</v>
      </c>
    </row>
    <row r="21" spans="1:1" x14ac:dyDescent="0.25">
      <c r="A21" s="2" t="s">
        <v>31</v>
      </c>
    </row>
    <row r="22" spans="1:1" x14ac:dyDescent="0.25">
      <c r="A22" s="2" t="s">
        <v>32</v>
      </c>
    </row>
    <row r="23" spans="1:1" x14ac:dyDescent="0.25">
      <c r="A23" s="2" t="s">
        <v>33</v>
      </c>
    </row>
    <row r="24" spans="1:1" x14ac:dyDescent="0.25">
      <c r="A24" s="2" t="s">
        <v>34</v>
      </c>
    </row>
    <row r="25" spans="1:1" x14ac:dyDescent="0.25">
      <c r="A25" s="2" t="s">
        <v>35</v>
      </c>
    </row>
    <row r="26" spans="1:1" x14ac:dyDescent="0.25">
      <c r="A26" s="2" t="s">
        <v>36</v>
      </c>
    </row>
    <row r="27" spans="1:1" x14ac:dyDescent="0.25">
      <c r="A27" s="2" t="s">
        <v>37</v>
      </c>
    </row>
    <row r="28" spans="1:1" x14ac:dyDescent="0.25">
      <c r="A28" s="2" t="s">
        <v>38</v>
      </c>
    </row>
    <row r="29" spans="1:1" x14ac:dyDescent="0.25">
      <c r="A29" s="2" t="s">
        <v>39</v>
      </c>
    </row>
    <row r="30" spans="1:1" x14ac:dyDescent="0.25">
      <c r="A30" s="2" t="s">
        <v>40</v>
      </c>
    </row>
    <row r="31" spans="1:1" x14ac:dyDescent="0.25">
      <c r="A31" s="2" t="s">
        <v>41</v>
      </c>
    </row>
    <row r="32" spans="1:1" x14ac:dyDescent="0.25">
      <c r="A32" s="2" t="s">
        <v>42</v>
      </c>
    </row>
    <row r="33" spans="1:16" x14ac:dyDescent="0.25">
      <c r="A33" s="2" t="s">
        <v>43</v>
      </c>
    </row>
    <row r="34" spans="1:16" x14ac:dyDescent="0.25">
      <c r="A34" s="2" t="s">
        <v>44</v>
      </c>
    </row>
    <row r="35" spans="1:16" x14ac:dyDescent="0.25">
      <c r="A35" s="2" t="s">
        <v>51</v>
      </c>
    </row>
    <row r="36" spans="1:16" ht="30" x14ac:dyDescent="0.25">
      <c r="A36" s="2" t="s">
        <v>52</v>
      </c>
    </row>
    <row r="37" spans="1:16" x14ac:dyDescent="0.25">
      <c r="A37" s="2" t="s">
        <v>53</v>
      </c>
      <c r="N37" t="s">
        <v>54</v>
      </c>
      <c r="O37" t="s">
        <v>55</v>
      </c>
      <c r="P37" t="s">
        <v>56</v>
      </c>
    </row>
    <row r="38" spans="1:16" x14ac:dyDescent="0.25">
      <c r="A38" s="2" t="s">
        <v>57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 s="4">
        <v>3</v>
      </c>
      <c r="O38" s="5">
        <v>10</v>
      </c>
      <c r="P38" s="7">
        <v>23</v>
      </c>
    </row>
    <row r="39" spans="1:16" x14ac:dyDescent="0.25">
      <c r="A39" s="2" t="s">
        <v>58</v>
      </c>
      <c r="C39" s="6">
        <v>1</v>
      </c>
      <c r="D39">
        <v>0</v>
      </c>
      <c r="E39" s="6">
        <v>0.96</v>
      </c>
      <c r="F39" s="5">
        <v>0.74</v>
      </c>
      <c r="G39" s="6">
        <v>0.88</v>
      </c>
      <c r="H39" s="6">
        <v>0.96</v>
      </c>
      <c r="I39" s="6">
        <v>1</v>
      </c>
      <c r="J39" s="6">
        <v>1</v>
      </c>
      <c r="K39" s="6">
        <v>0.94</v>
      </c>
      <c r="N39">
        <f>COUNTIFS(C38:K46,"&gt;0,50",C38:K46,"&lt;0,60")</f>
        <v>3</v>
      </c>
      <c r="O39">
        <f>COUNTIFS(C38:K46,"&gt;0,60",C38:K46,"&lt;0,80")</f>
        <v>10</v>
      </c>
      <c r="P39">
        <f>COUNTIFS(C38:K46,"&gt;0,80",C38:K46,"&lt;=1")</f>
        <v>23</v>
      </c>
    </row>
    <row r="40" spans="1:16" x14ac:dyDescent="0.25">
      <c r="A40" s="2" t="s">
        <v>59</v>
      </c>
      <c r="C40" s="6">
        <v>0.88</v>
      </c>
      <c r="D40">
        <v>0</v>
      </c>
      <c r="E40">
        <v>0</v>
      </c>
      <c r="F40">
        <v>0</v>
      </c>
      <c r="G40">
        <v>0</v>
      </c>
      <c r="H40">
        <v>0</v>
      </c>
      <c r="I40" s="6">
        <v>0.81</v>
      </c>
      <c r="J40" s="5">
        <v>0.73</v>
      </c>
      <c r="K40">
        <v>0</v>
      </c>
    </row>
    <row r="41" spans="1:16" x14ac:dyDescent="0.25">
      <c r="A41" s="2" t="s">
        <v>60</v>
      </c>
      <c r="C41" s="6">
        <v>0.99</v>
      </c>
      <c r="D41">
        <v>0</v>
      </c>
      <c r="E41" s="6">
        <v>0.89</v>
      </c>
      <c r="F41">
        <v>0</v>
      </c>
      <c r="G41" s="5">
        <v>0.71</v>
      </c>
      <c r="H41" s="6">
        <v>0.86</v>
      </c>
      <c r="I41" s="6">
        <v>0.99</v>
      </c>
      <c r="J41" s="6">
        <v>0.97</v>
      </c>
      <c r="K41" s="6">
        <v>0.82</v>
      </c>
    </row>
    <row r="42" spans="1:16" x14ac:dyDescent="0.25">
      <c r="A42" s="2" t="s">
        <v>61</v>
      </c>
      <c r="C42" s="6">
        <v>0.98</v>
      </c>
      <c r="D42">
        <v>0</v>
      </c>
      <c r="E42" s="5">
        <v>0.75</v>
      </c>
      <c r="F42">
        <v>0</v>
      </c>
      <c r="G42">
        <v>0</v>
      </c>
      <c r="H42" s="5">
        <v>0.72</v>
      </c>
      <c r="I42" s="6">
        <v>0.93</v>
      </c>
      <c r="J42" s="6">
        <v>0.89</v>
      </c>
      <c r="K42" s="5">
        <v>0.65</v>
      </c>
    </row>
    <row r="43" spans="1:16" x14ac:dyDescent="0.25">
      <c r="A43" s="2" t="s">
        <v>62</v>
      </c>
      <c r="C43" s="6">
        <v>0.9</v>
      </c>
      <c r="D43">
        <v>0</v>
      </c>
      <c r="E43" s="3">
        <v>0.56000000000000005</v>
      </c>
      <c r="F43">
        <v>0</v>
      </c>
      <c r="G43">
        <v>0</v>
      </c>
      <c r="H43">
        <v>0</v>
      </c>
      <c r="I43" s="6">
        <v>0.81</v>
      </c>
      <c r="J43" s="5">
        <v>0.76</v>
      </c>
      <c r="K43">
        <v>0</v>
      </c>
    </row>
    <row r="44" spans="1:16" x14ac:dyDescent="0.25">
      <c r="A44" s="2" t="s">
        <v>63</v>
      </c>
      <c r="C44" s="5">
        <v>0.64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6" x14ac:dyDescent="0.25">
      <c r="A45" s="2" t="s">
        <v>64</v>
      </c>
      <c r="C45" s="5">
        <v>0.72</v>
      </c>
      <c r="D45">
        <v>0</v>
      </c>
      <c r="E45">
        <v>0</v>
      </c>
      <c r="F45">
        <v>0</v>
      </c>
      <c r="G45">
        <v>0</v>
      </c>
      <c r="H45">
        <v>0</v>
      </c>
      <c r="I45" s="3">
        <v>0.59</v>
      </c>
      <c r="J45">
        <v>0</v>
      </c>
      <c r="K45">
        <v>0</v>
      </c>
    </row>
    <row r="46" spans="1:16" x14ac:dyDescent="0.25">
      <c r="A46" s="2" t="s">
        <v>65</v>
      </c>
      <c r="C46" s="6">
        <v>0.94</v>
      </c>
      <c r="D46">
        <v>0</v>
      </c>
      <c r="E46" s="5">
        <v>0.63</v>
      </c>
      <c r="F46">
        <v>0</v>
      </c>
      <c r="G46">
        <v>0</v>
      </c>
      <c r="H46" s="3">
        <v>0.59</v>
      </c>
      <c r="I46" s="6">
        <v>0.88</v>
      </c>
      <c r="J46" s="6">
        <v>0.82</v>
      </c>
      <c r="K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3085-431C-4507-98BE-153836A4E56C}">
  <dimension ref="A1:P68"/>
  <sheetViews>
    <sheetView tabSelected="1" topLeftCell="A34" zoomScale="80" zoomScaleNormal="80" workbookViewId="0">
      <selection activeCell="I68" sqref="I68"/>
    </sheetView>
  </sheetViews>
  <sheetFormatPr defaultRowHeight="15" x14ac:dyDescent="0.25"/>
  <cols>
    <col min="1" max="1" width="73.42578125" customWidth="1"/>
    <col min="14" max="14" width="36.5703125" bestFit="1" customWidth="1"/>
    <col min="15" max="15" width="25.5703125" bestFit="1" customWidth="1"/>
    <col min="16" max="16" width="23.85546875" bestFit="1" customWidth="1"/>
  </cols>
  <sheetData>
    <row r="1" spans="1:1" ht="30" x14ac:dyDescent="0.25">
      <c r="A1" s="2" t="s">
        <v>66</v>
      </c>
    </row>
    <row r="2" spans="1:1" x14ac:dyDescent="0.25">
      <c r="A2" s="2" t="s">
        <v>5</v>
      </c>
    </row>
    <row r="3" spans="1:1" x14ac:dyDescent="0.25">
      <c r="A3" s="2" t="s">
        <v>15</v>
      </c>
    </row>
    <row r="4" spans="1:1" x14ac:dyDescent="0.25">
      <c r="A4" s="2" t="s">
        <v>16</v>
      </c>
    </row>
    <row r="5" spans="1:1" x14ac:dyDescent="0.25">
      <c r="A5" s="2" t="s">
        <v>17</v>
      </c>
    </row>
    <row r="6" spans="1:1" x14ac:dyDescent="0.25">
      <c r="A6" s="2" t="s">
        <v>18</v>
      </c>
    </row>
    <row r="7" spans="1:1" x14ac:dyDescent="0.25">
      <c r="A7" s="2" t="s">
        <v>19</v>
      </c>
    </row>
    <row r="8" spans="1:1" x14ac:dyDescent="0.25">
      <c r="A8" s="2" t="s">
        <v>20</v>
      </c>
    </row>
    <row r="9" spans="1:1" x14ac:dyDescent="0.25">
      <c r="A9" s="2" t="s">
        <v>21</v>
      </c>
    </row>
    <row r="10" spans="1:1" x14ac:dyDescent="0.25">
      <c r="A10" s="2" t="s">
        <v>22</v>
      </c>
    </row>
    <row r="11" spans="1:1" x14ac:dyDescent="0.25">
      <c r="A11" s="2" t="s">
        <v>23</v>
      </c>
    </row>
    <row r="12" spans="1:1" x14ac:dyDescent="0.25">
      <c r="A12" s="2" t="s">
        <v>24</v>
      </c>
    </row>
    <row r="13" spans="1:1" x14ac:dyDescent="0.25">
      <c r="A13" s="2" t="s">
        <v>25</v>
      </c>
    </row>
    <row r="14" spans="1:1" x14ac:dyDescent="0.25">
      <c r="A14" s="2" t="s">
        <v>26</v>
      </c>
    </row>
    <row r="15" spans="1:1" x14ac:dyDescent="0.25">
      <c r="A15" s="2" t="s">
        <v>27</v>
      </c>
    </row>
    <row r="16" spans="1:1" x14ac:dyDescent="0.25">
      <c r="A16" s="2" t="s">
        <v>28</v>
      </c>
    </row>
    <row r="17" spans="1:1" x14ac:dyDescent="0.25">
      <c r="A17" s="2" t="s">
        <v>29</v>
      </c>
    </row>
    <row r="18" spans="1:1" x14ac:dyDescent="0.25">
      <c r="A18" s="2" t="s">
        <v>30</v>
      </c>
    </row>
    <row r="19" spans="1:1" x14ac:dyDescent="0.25">
      <c r="A19" s="2" t="s">
        <v>31</v>
      </c>
    </row>
    <row r="20" spans="1:1" x14ac:dyDescent="0.25">
      <c r="A20" s="2" t="s">
        <v>32</v>
      </c>
    </row>
    <row r="21" spans="1:1" x14ac:dyDescent="0.25">
      <c r="A21" s="2" t="s">
        <v>33</v>
      </c>
    </row>
    <row r="22" spans="1:1" x14ac:dyDescent="0.25">
      <c r="A22" s="2" t="s">
        <v>34</v>
      </c>
    </row>
    <row r="23" spans="1:1" x14ac:dyDescent="0.25">
      <c r="A23" s="2" t="s">
        <v>35</v>
      </c>
    </row>
    <row r="24" spans="1:1" x14ac:dyDescent="0.25">
      <c r="A24" s="2" t="s">
        <v>36</v>
      </c>
    </row>
    <row r="25" spans="1:1" x14ac:dyDescent="0.25">
      <c r="A25" s="2" t="s">
        <v>37</v>
      </c>
    </row>
    <row r="26" spans="1:1" x14ac:dyDescent="0.25">
      <c r="A26" s="2" t="s">
        <v>38</v>
      </c>
    </row>
    <row r="27" spans="1:1" x14ac:dyDescent="0.25">
      <c r="A27" s="2" t="s">
        <v>39</v>
      </c>
    </row>
    <row r="28" spans="1:1" x14ac:dyDescent="0.25">
      <c r="A28" s="2" t="s">
        <v>40</v>
      </c>
    </row>
    <row r="29" spans="1:1" x14ac:dyDescent="0.25">
      <c r="A29" s="2" t="s">
        <v>41</v>
      </c>
    </row>
    <row r="30" spans="1:1" x14ac:dyDescent="0.25">
      <c r="A30" s="2" t="s">
        <v>42</v>
      </c>
    </row>
    <row r="31" spans="1:1" x14ac:dyDescent="0.25">
      <c r="A31" s="2" t="s">
        <v>43</v>
      </c>
    </row>
    <row r="32" spans="1:1" x14ac:dyDescent="0.25">
      <c r="A32" s="2" t="s">
        <v>44</v>
      </c>
    </row>
    <row r="33" spans="1:16" x14ac:dyDescent="0.25">
      <c r="A33" s="2" t="s">
        <v>45</v>
      </c>
    </row>
    <row r="34" spans="1:16" ht="30" x14ac:dyDescent="0.25">
      <c r="A34" s="2" t="s">
        <v>67</v>
      </c>
    </row>
    <row r="35" spans="1:16" x14ac:dyDescent="0.25">
      <c r="A35" s="2" t="s">
        <v>68</v>
      </c>
    </row>
    <row r="36" spans="1:16" x14ac:dyDescent="0.25">
      <c r="A36" s="2" t="s">
        <v>57</v>
      </c>
    </row>
    <row r="37" spans="1:16" x14ac:dyDescent="0.25">
      <c r="A37" s="2" t="s">
        <v>69</v>
      </c>
      <c r="N37" t="s">
        <v>54</v>
      </c>
      <c r="O37" t="s">
        <v>55</v>
      </c>
      <c r="P37" t="s">
        <v>56</v>
      </c>
    </row>
    <row r="38" spans="1:16" x14ac:dyDescent="0.25">
      <c r="A38" s="2" t="s">
        <v>70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 s="4">
        <v>4</v>
      </c>
      <c r="O38" s="5">
        <v>13</v>
      </c>
      <c r="P38" s="7">
        <v>19</v>
      </c>
    </row>
    <row r="39" spans="1:16" x14ac:dyDescent="0.25">
      <c r="A39" s="2" t="s">
        <v>71</v>
      </c>
      <c r="C39" s="6">
        <v>1</v>
      </c>
      <c r="D39">
        <v>0</v>
      </c>
      <c r="E39" s="6">
        <v>0.96</v>
      </c>
      <c r="F39" s="5">
        <v>0.76</v>
      </c>
      <c r="G39" s="6">
        <v>0.88</v>
      </c>
      <c r="H39" s="6">
        <v>0.96</v>
      </c>
      <c r="I39" s="6">
        <v>1</v>
      </c>
      <c r="J39" s="6">
        <v>0.99</v>
      </c>
      <c r="K39" s="6">
        <v>0.94</v>
      </c>
      <c r="N39">
        <f>COUNTIFS(C38:K46,"&gt;=0.50",C38:K46,"&lt;=0.60")</f>
        <v>4</v>
      </c>
      <c r="O39">
        <f>COUNTIFS(C38:K46,"&gt;0.60",C38:K46,"&lt;=0.80")</f>
        <v>13</v>
      </c>
      <c r="P39">
        <f>COUNTIFS(C38:K46,"&gt;0.80",C38:K46,"&lt;=1")</f>
        <v>19</v>
      </c>
    </row>
    <row r="40" spans="1:16" x14ac:dyDescent="0.25">
      <c r="A40" s="2" t="s">
        <v>72</v>
      </c>
      <c r="C40" s="6">
        <v>0.89</v>
      </c>
      <c r="D40">
        <v>0</v>
      </c>
      <c r="E40">
        <v>0</v>
      </c>
      <c r="F40">
        <v>0</v>
      </c>
      <c r="G40">
        <v>0</v>
      </c>
      <c r="H40">
        <v>0</v>
      </c>
      <c r="I40" s="5">
        <v>0.76</v>
      </c>
      <c r="J40" s="5">
        <v>0.68</v>
      </c>
      <c r="K40">
        <v>0</v>
      </c>
    </row>
    <row r="41" spans="1:16" x14ac:dyDescent="0.25">
      <c r="A41" s="2" t="s">
        <v>73</v>
      </c>
      <c r="C41" s="6">
        <v>1</v>
      </c>
      <c r="D41">
        <v>0</v>
      </c>
      <c r="E41" s="6">
        <v>0.86</v>
      </c>
      <c r="F41">
        <v>0</v>
      </c>
      <c r="G41" s="5">
        <v>0.7</v>
      </c>
      <c r="H41" s="6">
        <v>0.86</v>
      </c>
      <c r="I41" s="6">
        <v>0.98</v>
      </c>
      <c r="J41" s="6">
        <v>0.96</v>
      </c>
      <c r="K41" s="5">
        <v>0.8</v>
      </c>
    </row>
    <row r="42" spans="1:16" x14ac:dyDescent="0.25">
      <c r="A42" s="2" t="s">
        <v>74</v>
      </c>
      <c r="C42" s="6">
        <v>0.97</v>
      </c>
      <c r="D42">
        <v>0</v>
      </c>
      <c r="E42" s="5">
        <v>0.74</v>
      </c>
      <c r="F42">
        <v>0</v>
      </c>
      <c r="G42">
        <v>0</v>
      </c>
      <c r="H42" s="5">
        <v>0.74</v>
      </c>
      <c r="I42" s="6">
        <v>0.92</v>
      </c>
      <c r="J42" s="6">
        <v>0.86</v>
      </c>
      <c r="K42" s="5">
        <v>0.64</v>
      </c>
    </row>
    <row r="43" spans="1:16" x14ac:dyDescent="0.25">
      <c r="A43" s="2" t="s">
        <v>75</v>
      </c>
      <c r="C43" s="6">
        <v>0.89</v>
      </c>
      <c r="D43">
        <v>0</v>
      </c>
      <c r="E43" s="3">
        <v>0.52</v>
      </c>
      <c r="F43">
        <v>0</v>
      </c>
      <c r="G43">
        <v>0</v>
      </c>
      <c r="H43">
        <v>0</v>
      </c>
      <c r="I43" s="5">
        <v>0.79</v>
      </c>
      <c r="J43" s="5">
        <v>0.68</v>
      </c>
      <c r="K43">
        <v>0</v>
      </c>
    </row>
    <row r="44" spans="1:16" x14ac:dyDescent="0.25">
      <c r="A44" s="2" t="s">
        <v>76</v>
      </c>
      <c r="C44" s="5">
        <v>0.69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6" ht="30" x14ac:dyDescent="0.25">
      <c r="A45" s="2" t="s">
        <v>77</v>
      </c>
      <c r="C45" s="5">
        <v>0.76</v>
      </c>
      <c r="D45">
        <v>0</v>
      </c>
      <c r="E45">
        <v>0</v>
      </c>
      <c r="F45">
        <v>0</v>
      </c>
      <c r="G45">
        <v>0</v>
      </c>
      <c r="H45">
        <v>0</v>
      </c>
      <c r="I45" s="3">
        <v>0.6</v>
      </c>
      <c r="J45">
        <v>0</v>
      </c>
      <c r="K45">
        <v>0</v>
      </c>
    </row>
    <row r="46" spans="1:16" x14ac:dyDescent="0.25">
      <c r="A46" s="2" t="s">
        <v>78</v>
      </c>
      <c r="C46" s="6">
        <v>0.93</v>
      </c>
      <c r="D46">
        <v>0</v>
      </c>
      <c r="E46" s="3">
        <v>0.6</v>
      </c>
      <c r="F46">
        <v>0</v>
      </c>
      <c r="G46">
        <v>0</v>
      </c>
      <c r="H46" s="3">
        <v>0.59</v>
      </c>
      <c r="I46" s="6">
        <v>0.84</v>
      </c>
      <c r="J46" s="5">
        <v>0.77</v>
      </c>
      <c r="K46">
        <v>0</v>
      </c>
    </row>
    <row r="51" spans="1:12" ht="30" x14ac:dyDescent="0.25">
      <c r="A51" s="2" t="s">
        <v>67</v>
      </c>
      <c r="C51" s="8" t="s">
        <v>79</v>
      </c>
      <c r="D51" s="10" t="s">
        <v>80</v>
      </c>
      <c r="E51" s="10" t="s">
        <v>81</v>
      </c>
      <c r="F51" s="8" t="s">
        <v>82</v>
      </c>
      <c r="G51" s="10" t="s">
        <v>83</v>
      </c>
      <c r="H51" s="8" t="s">
        <v>84</v>
      </c>
      <c r="I51" s="8" t="s">
        <v>85</v>
      </c>
      <c r="J51" s="8" t="s">
        <v>86</v>
      </c>
      <c r="K51" s="8" t="s">
        <v>87</v>
      </c>
    </row>
    <row r="52" spans="1:12" x14ac:dyDescent="0.25">
      <c r="A52" s="2" t="s">
        <v>68</v>
      </c>
      <c r="C52" s="9">
        <v>8.8769600000000004E-2</v>
      </c>
      <c r="D52" s="9">
        <v>0.14188751999999999</v>
      </c>
      <c r="E52" s="9">
        <v>0.10727011</v>
      </c>
      <c r="F52" s="9">
        <v>0.12818789</v>
      </c>
      <c r="G52" s="9">
        <v>0.11850305</v>
      </c>
      <c r="H52" s="9">
        <v>0.10821544</v>
      </c>
      <c r="I52" s="9">
        <v>9.5419920000000005E-2</v>
      </c>
      <c r="J52" s="9">
        <v>9.9663310000000005E-2</v>
      </c>
      <c r="K52" s="9">
        <v>0.11208315000000001</v>
      </c>
    </row>
    <row r="53" spans="1:12" x14ac:dyDescent="0.25">
      <c r="L53" s="1">
        <v>8.8769600000000004E-2</v>
      </c>
    </row>
    <row r="54" spans="1:12" x14ac:dyDescent="0.25">
      <c r="L54" s="1">
        <v>0.14188751999999999</v>
      </c>
    </row>
    <row r="55" spans="1:12" x14ac:dyDescent="0.25">
      <c r="A55" s="2"/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s="1">
        <v>0.10727011</v>
      </c>
    </row>
    <row r="56" spans="1:12" x14ac:dyDescent="0.25">
      <c r="A56" s="2"/>
      <c r="B56">
        <v>1</v>
      </c>
      <c r="C56">
        <v>0</v>
      </c>
      <c r="D56">
        <v>0.96</v>
      </c>
      <c r="E56">
        <v>0.76</v>
      </c>
      <c r="F56">
        <v>0.88</v>
      </c>
      <c r="G56">
        <v>0.96</v>
      </c>
      <c r="H56">
        <v>1</v>
      </c>
      <c r="I56">
        <v>0.99</v>
      </c>
      <c r="J56">
        <v>0.94</v>
      </c>
      <c r="L56" s="1">
        <v>0.12818789</v>
      </c>
    </row>
    <row r="57" spans="1:12" x14ac:dyDescent="0.25">
      <c r="A57" s="2"/>
      <c r="B57">
        <v>0.89</v>
      </c>
      <c r="C57">
        <v>0</v>
      </c>
      <c r="D57">
        <v>0</v>
      </c>
      <c r="E57">
        <v>0</v>
      </c>
      <c r="F57">
        <v>0</v>
      </c>
      <c r="G57">
        <v>0</v>
      </c>
      <c r="H57">
        <v>0.76</v>
      </c>
      <c r="I57">
        <v>0.68</v>
      </c>
      <c r="J57">
        <v>0</v>
      </c>
      <c r="L57" s="1">
        <v>0.11850305</v>
      </c>
    </row>
    <row r="58" spans="1:12" x14ac:dyDescent="0.25">
      <c r="A58" s="2"/>
      <c r="B58">
        <v>1</v>
      </c>
      <c r="C58">
        <v>0</v>
      </c>
      <c r="D58">
        <v>0.86</v>
      </c>
      <c r="E58">
        <v>0</v>
      </c>
      <c r="F58">
        <v>0.7</v>
      </c>
      <c r="G58">
        <v>0.86</v>
      </c>
      <c r="H58">
        <v>0.98</v>
      </c>
      <c r="I58">
        <v>0.96</v>
      </c>
      <c r="J58">
        <v>0.8</v>
      </c>
      <c r="L58" s="1">
        <v>0.10821544</v>
      </c>
    </row>
    <row r="59" spans="1:12" x14ac:dyDescent="0.25">
      <c r="A59" s="2"/>
      <c r="B59">
        <v>0.97</v>
      </c>
      <c r="C59">
        <v>0</v>
      </c>
      <c r="D59">
        <v>0.74</v>
      </c>
      <c r="E59">
        <v>0</v>
      </c>
      <c r="F59">
        <v>0</v>
      </c>
      <c r="G59">
        <v>0.74</v>
      </c>
      <c r="H59">
        <v>0.92</v>
      </c>
      <c r="I59">
        <v>0.86</v>
      </c>
      <c r="J59">
        <v>0.64</v>
      </c>
      <c r="L59" s="1">
        <v>9.5419920000000005E-2</v>
      </c>
    </row>
    <row r="60" spans="1:12" x14ac:dyDescent="0.25">
      <c r="A60" s="2"/>
      <c r="B60">
        <v>0.89</v>
      </c>
      <c r="C60">
        <v>0</v>
      </c>
      <c r="D60">
        <v>0.52</v>
      </c>
      <c r="E60">
        <v>0</v>
      </c>
      <c r="F60">
        <v>0</v>
      </c>
      <c r="G60">
        <v>0</v>
      </c>
      <c r="H60">
        <v>0.79</v>
      </c>
      <c r="I60">
        <v>0.68</v>
      </c>
      <c r="J60">
        <v>0</v>
      </c>
      <c r="L60" s="1">
        <v>9.9663310000000005E-2</v>
      </c>
    </row>
    <row r="61" spans="1:12" x14ac:dyDescent="0.25">
      <c r="A61" s="2"/>
      <c r="B61">
        <v>0.69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L61" s="1">
        <v>0.11208315000000001</v>
      </c>
    </row>
    <row r="62" spans="1:12" x14ac:dyDescent="0.25">
      <c r="A62" s="2"/>
      <c r="B62">
        <v>0.76</v>
      </c>
      <c r="C62">
        <v>0</v>
      </c>
      <c r="D62">
        <v>0</v>
      </c>
      <c r="E62">
        <v>0</v>
      </c>
      <c r="F62">
        <v>0</v>
      </c>
      <c r="G62">
        <v>0</v>
      </c>
      <c r="H62">
        <v>0.6</v>
      </c>
      <c r="I62">
        <v>0</v>
      </c>
      <c r="J62">
        <v>0</v>
      </c>
    </row>
    <row r="63" spans="1:12" x14ac:dyDescent="0.25">
      <c r="A63" s="2"/>
      <c r="B63">
        <v>0.93</v>
      </c>
      <c r="C63">
        <v>0</v>
      </c>
      <c r="D63">
        <v>0.6</v>
      </c>
      <c r="E63">
        <v>0</v>
      </c>
      <c r="F63">
        <v>0</v>
      </c>
      <c r="G63">
        <v>0.59</v>
      </c>
      <c r="H63">
        <v>0.84</v>
      </c>
      <c r="I63">
        <v>0.77</v>
      </c>
      <c r="J63">
        <v>0</v>
      </c>
    </row>
    <row r="66" spans="3:13" x14ac:dyDescent="0.25">
      <c r="C66" t="s">
        <v>79</v>
      </c>
      <c r="D66" t="s">
        <v>80</v>
      </c>
      <c r="E66" t="s">
        <v>81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87</v>
      </c>
    </row>
    <row r="67" spans="3:13" x14ac:dyDescent="0.25">
      <c r="C67">
        <v>8.8769600000000004E-2</v>
      </c>
      <c r="F67">
        <v>0.12818789</v>
      </c>
      <c r="H67">
        <v>0.10821544</v>
      </c>
      <c r="I67">
        <v>9.5419920000000005E-2</v>
      </c>
      <c r="J67">
        <v>9.9663310000000005E-2</v>
      </c>
      <c r="K67">
        <v>0.11208315000000001</v>
      </c>
      <c r="M67">
        <f>SUM(C67:L67)</f>
        <v>0.63233930999999999</v>
      </c>
    </row>
    <row r="68" spans="3:13" x14ac:dyDescent="0.25">
      <c r="C68" s="11">
        <f>C67/$M$67</f>
        <v>0.14038285869021808</v>
      </c>
      <c r="D68" s="11"/>
      <c r="E68" s="11"/>
      <c r="F68" s="11">
        <f>F67/$M$67</f>
        <v>0.20272010291436729</v>
      </c>
      <c r="G68" s="11"/>
      <c r="H68" s="11">
        <f>H67/$M$67</f>
        <v>0.17113508252396961</v>
      </c>
      <c r="I68" s="11">
        <f>I67/$M$67</f>
        <v>0.150899870514139</v>
      </c>
      <c r="J68" s="11">
        <f>J67/$M$67</f>
        <v>0.15761049237947899</v>
      </c>
      <c r="K68" s="11">
        <f>K67/$M$67</f>
        <v>0.17725159297782705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Final_for_Paper_Chart_Numbers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Kostas</dc:creator>
  <cp:keywords/>
  <dc:description/>
  <cp:lastModifiedBy>FLORIOS KONSTANTINOS;ΦΛΩΡΙΟΣ ΚΩΝΣΤΑΝΤΙΝΟΣ</cp:lastModifiedBy>
  <cp:revision/>
  <dcterms:created xsi:type="dcterms:W3CDTF">2015-06-05T18:19:34Z</dcterms:created>
  <dcterms:modified xsi:type="dcterms:W3CDTF">2025-11-27T23:22:38Z</dcterms:modified>
  <cp:category/>
  <cp:contentStatus/>
</cp:coreProperties>
</file>