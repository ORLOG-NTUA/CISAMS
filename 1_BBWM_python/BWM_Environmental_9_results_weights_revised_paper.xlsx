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Aluminium\"/>
    </mc:Choice>
  </mc:AlternateContent>
  <xr:revisionPtr revIDLastSave="0" documentId="13_ncr:1_{38F58E52-1126-4C71-95D5-F6A6B4B80D3C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Φύλλο1" sheetId="1" r:id="rId1"/>
    <sheet name="Φύλλο2" sheetId="3" r:id="rId2"/>
    <sheet name="Sheet1" sheetId="2" r:id="rId3"/>
    <sheet name="Final_for_Paper_Chart_Numbe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6" i="4" l="1"/>
  <c r="M84" i="4"/>
  <c r="D80" i="4"/>
  <c r="E80" i="4"/>
  <c r="I80" i="4"/>
  <c r="J80" i="4"/>
  <c r="K80" i="4"/>
  <c r="C80" i="4"/>
  <c r="M78" i="4"/>
  <c r="O44" i="4"/>
  <c r="N44" i="4"/>
  <c r="P44" i="4"/>
  <c r="P44" i="3"/>
  <c r="O44" i="3"/>
  <c r="N44" i="3"/>
</calcChain>
</file>

<file path=xl/sharedStrings.xml><?xml version="1.0" encoding="utf-8"?>
<sst xmlns="http://schemas.openxmlformats.org/spreadsheetml/2006/main" count="246" uniqueCount="150">
  <si>
    <t>see other sheet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</si>
  <si>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</si>
  <si>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</si>
  <si>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</si>
  <si>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</si>
  <si>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</si>
  <si>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</si>
  <si>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</si>
  <si>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</si>
  <si>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</si>
  <si>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(pyjags) efsimos@DESKTOP-2VUASBO:~/pyjags/pyhags_demo2$ ls *.py</t>
  </si>
  <si>
    <t>test1_kostas.py                  test_Desalination_Ibrahim.py       test_SOCIAL_Market_rev.py</t>
  </si>
  <si>
    <t>test9_kostas.py                  test_ENVIRONMENTAL_Market.py       test_SOCIAL_Orlog.py</t>
  </si>
  <si>
    <t>test_CIRCULARITY_Market.py       test_ENVIRONMENTAL_Market_rev.py   test_model.py</t>
  </si>
  <si>
    <t>test_CIRCULARITY_Market_rev.py   test_ENVIRONMENTAL_Market_rev2.py  test_modules.py</t>
  </si>
  <si>
    <t>test_CIRCULARITY_Market_rev2.py  test_ENVIRONMENTAL_Orlog.py</t>
  </si>
  <si>
    <t>test_CIRCULARITY_Orlog.py        test_SOCIAL_Market.py</t>
  </si>
  <si>
    <t>(pyjags) efsimos@DESKTOP-2VUASBO:~/pyjags/pyhags_demo2$ python test_ENVIRONMENTAL_Market_rev2.py</t>
  </si>
  <si>
    <t>/home/efsimos/miniconda3/envs/pyjags/lib/python3.10/site-packages/arviz/plots/plot_utils.py:11: UserWarning: A NumPy version &gt;=1.23.5 and &lt;2.5.0 is required for this version of SciPy (detected version 1.23.4)</t>
  </si>
  <si>
    <t xml:space="preserve">  from scipy.stats import mode, rankdata</t>
  </si>
  <si>
    <t>[[7. 3. 1. 9. 6. 7. 4. 6. 3.]</t>
  </si>
  <si>
    <t xml:space="preserve"> [3. 5. 2. 8. 9. 7. 1. 6. 4.]</t>
  </si>
  <si>
    <t xml:space="preserve"> [2. 2. 3. 2. 5. 4. 2. 2. 3.]</t>
  </si>
  <si>
    <t xml:space="preserve"> [2. 3. 1. 9. 7. 5. 4. 6. 8.]</t>
  </si>
  <si>
    <t xml:space="preserve"> [4. 3. 3. 5. 7. 5. 1. 3. 2.]</t>
  </si>
  <si>
    <t xml:space="preserve"> [2. 3. 3. 9. 4. 5. 1. 4. 5.]</t>
  </si>
  <si>
    <t xml:space="preserve"> [6. 6. 4. 4. 5. 6. 4. 1. 3.]</t>
  </si>
  <si>
    <t xml:space="preserve"> [2. 4. 3. 7. 9. 6. 5. 1. 8.]</t>
  </si>
  <si>
    <t xml:space="preserve"> [1. 1. 1. 9. 2. 2. 3. 1. 2.]</t>
  </si>
  <si>
    <t xml:space="preserve"> [2. 3. 1. 9. 1. 2. 1. 1. 3.]</t>
  </si>
  <si>
    <t xml:space="preserve"> [3. 3. 2. 1. 4. 4. 3. 8. 5.]</t>
  </si>
  <si>
    <t xml:space="preserve"> [4. 4. 1. 5. 6. 3. 2. 4. 4.]</t>
  </si>
  <si>
    <t xml:space="preserve"> [3. 3. 1. 7. 4. 3. 6. 3. 3.]</t>
  </si>
  <si>
    <t xml:space="preserve"> [8. 9. 2. 1. 3. 5. 4. 6. 7.]]</t>
  </si>
  <si>
    <t>[[3. 5. 9. 1. 7. 5. 4. 3. 6.]</t>
  </si>
  <si>
    <t xml:space="preserve"> [7. 5. 8. 2. 1. 3. 9. 4. 6.]</t>
  </si>
  <si>
    <t xml:space="preserve"> [8. 8. 7. 8. 5. 6. 8. 8. 7.]</t>
  </si>
  <si>
    <t xml:space="preserve"> [8. 7. 9. 1. 3. 5. 6. 4. 2.]</t>
  </si>
  <si>
    <t xml:space="preserve"> [6. 6. 6. 5. 1. 7. 8. 7. 7.]</t>
  </si>
  <si>
    <t xml:space="preserve"> [3. 5. 4. 1. 4. 5. 4. 6. 5.]</t>
  </si>
  <si>
    <t xml:space="preserve"> [5. 5. 3. 3. 4. 4. 3. 7. 1.]</t>
  </si>
  <si>
    <t xml:space="preserve"> [8. 6. 7. 3. 9. 4. 5. 1. 2.]</t>
  </si>
  <si>
    <t xml:space="preserve"> [9. 9. 9. 1. 7. 7. 7. 9. 8.]</t>
  </si>
  <si>
    <t xml:space="preserve"> [8. 7. 9. 1. 9. 8. 9. 9. 7.]</t>
  </si>
  <si>
    <t xml:space="preserve"> [6. 6. 7. 8. 5. 5. 6. 1. 4.]</t>
  </si>
  <si>
    <t xml:space="preserve"> [3. 3. 6. 2. 1. 4. 5. 3. 3.]</t>
  </si>
  <si>
    <t xml:space="preserve"> [7. 7. 9. 1. 5. 5. 5. 5. 5.]</t>
  </si>
  <si>
    <t xml:space="preserve"> [2. 1. 8. 9. 7. 6. 5. 4. 3.]]</t>
  </si>
  <si>
    <t>adapting: iterations 4000 of 4000, elapsed 0:00:00, remaining 0:00:00</t>
  </si>
  <si>
    <t>sampling: iterations 22000 of 22000, elapsed 0:00:00, remaining 0:00:00</t>
  </si>
  <si>
    <t>The average of the aggregated weight distribution is: [0.12163056 0.1172222  0.16031408 0.0672414  0.09136609 0.10236755</t>
  </si>
  <si>
    <t xml:space="preserve"> 0.1312084  0.10921652 0.09943319]</t>
  </si>
  <si>
    <t>Confidence Level [50, 60]</t>
  </si>
  <si>
    <t>Confidence Level (60, 80]</t>
  </si>
  <si>
    <t>Confidence Level (80, 100]</t>
  </si>
  <si>
    <t>[[0.   0.58 0.   1.   0.98 0.88 0.   0.77 0.92]</t>
  </si>
  <si>
    <t xml:space="preserve"> [0.   0.   0.   1.   0.96 0.81 0.   0.69 0.85]</t>
  </si>
  <si>
    <t xml:space="preserve"> [0.97 0.99 0.   1.   1.   1.   0.92 1.   1.  ]</t>
  </si>
  <si>
    <t xml:space="preserve"> [0.   0.   0.   0.   0.   0.   0.   0.   0.  ]</t>
  </si>
  <si>
    <t xml:space="preserve"> [0.   0.   0.   0.98 0.   0.   0.   0.   0.  ]</t>
  </si>
  <si>
    <t xml:space="preserve"> [0.   0.   0.   1.   0.77 0.   0.   0.   0.57]</t>
  </si>
  <si>
    <t xml:space="preserve"> [0.7  0.75 0.   1.   0.99 0.95 0.   0.89 0.97]</t>
  </si>
  <si>
    <t xml:space="preserve"> [0.   0.   0.   1.   0.89 0.68 0.   0.   0.75]</t>
  </si>
  <si>
    <t xml:space="preserve"> [0.   0.   0.   1.   0.71 0.   0.   0.   0.  ]]</t>
  </si>
  <si>
    <t>(pyjags)</t>
  </si>
  <si>
    <t>cflorios@LAPTOP-FSK795HM:~/pyjags/pyhags_demo2$</t>
  </si>
  <si>
    <t>ls</t>
  </si>
  <si>
    <t>*.py</t>
  </si>
  <si>
    <t>test1_kostas.py</t>
  </si>
  <si>
    <t>test_CIRCULARITY_Orlog.py</t>
  </si>
  <si>
    <t>test_ENVIRONMENTAL_Orlog.py</t>
  </si>
  <si>
    <t>test_modules.py</t>
  </si>
  <si>
    <t>test9_kostas.py</t>
  </si>
  <si>
    <t>test_Desalination_Ibrahim.py</t>
  </si>
  <si>
    <t>test_SOCIAL_Market.py</t>
  </si>
  <si>
    <t>test_CIRCULARITY_Market.py</t>
  </si>
  <si>
    <t>test_ENVIRONMENTAL_Market.py</t>
  </si>
  <si>
    <t>test_SOCIAL_Orlog.py</t>
  </si>
  <si>
    <t>test_CIRCULARITY_Market_rev.py</t>
  </si>
  <si>
    <t>test_ENVIRONMENTAL_Market_rev.py</t>
  </si>
  <si>
    <t>test_model.py</t>
  </si>
  <si>
    <t>python</t>
  </si>
  <si>
    <t>[[7.</t>
  </si>
  <si>
    <t>3.]</t>
  </si>
  <si>
    <t>[3.</t>
  </si>
  <si>
    <t>4.]</t>
  </si>
  <si>
    <t>[2.</t>
  </si>
  <si>
    <t>8.]</t>
  </si>
  <si>
    <t>[4.</t>
  </si>
  <si>
    <t>2.]</t>
  </si>
  <si>
    <t>5.]</t>
  </si>
  <si>
    <t>[6.</t>
  </si>
  <si>
    <t>[1.</t>
  </si>
  <si>
    <t>[8.</t>
  </si>
  <si>
    <t>7.]]</t>
  </si>
  <si>
    <t>[[3.</t>
  </si>
  <si>
    <t>6.]</t>
  </si>
  <si>
    <t>[7.</t>
  </si>
  <si>
    <t>7.]</t>
  </si>
  <si>
    <t>[5.</t>
  </si>
  <si>
    <t>1.]</t>
  </si>
  <si>
    <t>[9.</t>
  </si>
  <si>
    <t>3.]]</t>
  </si>
  <si>
    <t>adapting:</t>
  </si>
  <si>
    <t>iterations</t>
  </si>
  <si>
    <t>of</t>
  </si>
  <si>
    <t>4000,</t>
  </si>
  <si>
    <t>elapsed</t>
  </si>
  <si>
    <t>0:00:00,</t>
  </si>
  <si>
    <t>remaining</t>
  </si>
  <si>
    <t>sampling:</t>
  </si>
  <si>
    <t>22000,</t>
  </si>
  <si>
    <t>0:00:01,</t>
  </si>
  <si>
    <t>The</t>
  </si>
  <si>
    <t>average</t>
  </si>
  <si>
    <t>the</t>
  </si>
  <si>
    <t>aggregated</t>
  </si>
  <si>
    <t>weight</t>
  </si>
  <si>
    <t>distribution</t>
  </si>
  <si>
    <t>is:</t>
  </si>
  <si>
    <t>[0.12140947</t>
  </si>
  <si>
    <t>0.09978051]</t>
  </si>
  <si>
    <t>(pyjags) cflorios@LAPTOP-FSK795HM:~/pyjags/pyhags_demo2/pyhags_demo3$ ls *.py</t>
  </si>
  <si>
    <t>test9_kostas.py                  test_ENVIRONMENTAL_Market.py       test_SOCIAL_Market_rev2.py</t>
  </si>
  <si>
    <t>test_CIRCULARITY_Market.py       test_ENVIRONMENTAL_Market_rev.py   test_SOCIAL_Orlog.py</t>
  </si>
  <si>
    <t>test_CIRCULARITY_Market_rev.py   test_ENVIRONMENTAL_Market_rev2.py  test_model.py</t>
  </si>
  <si>
    <t>test_CIRCULARITY_Market_rev2.py  test_ENVIRONMENTAL_Market_rev3.py  test_modules.py</t>
  </si>
  <si>
    <t>test_CIRCULARITY_Market_rev3.py  test_ENVIRONMENTAL_Orlog.py</t>
  </si>
  <si>
    <t>(pyjags) cflorios@LAPTOP-FSK795HM:~/pyjags/pyhags_demo2/pyhags_demo3$ python test_ENVIRONMENTAL_Market_rev3.py</t>
  </si>
  <si>
    <t>sampling: iterations 22000 of 22000, elapsed 0:00:01, remaining 0:00:00</t>
  </si>
  <si>
    <t>The average of the aggregated weight distribution is: [0.12223977 0.11579755 0.16265529 0.0671917  0.09157391 0.10284783</t>
  </si>
  <si>
    <t xml:space="preserve"> 0.13138076 0.10721525 0.09909794]</t>
  </si>
  <si>
    <t>[[0.   0.65 0.   1.   0.98 0.86 0.   0.8  0.91]</t>
  </si>
  <si>
    <t xml:space="preserve"> [0.   0.   0.   1.   0.94 0.77 0.   0.7  0.85]</t>
  </si>
  <si>
    <t xml:space="preserve"> [0.98 0.99 0.   1.   1.   1.   0.94 1.   1.  ]</t>
  </si>
  <si>
    <t xml:space="preserve"> [0.   0.   0.   0.97 0.   0.   0.   0.   0.  ]</t>
  </si>
  <si>
    <t xml:space="preserve"> [0.   0.   0.   1.   0.77 0.   0.   0.   0.6 ]</t>
  </si>
  <si>
    <t xml:space="preserve"> [0.7  0.8  0.   1.   0.99 0.93 0.   0.9  0.97]</t>
  </si>
  <si>
    <t xml:space="preserve"> [0.   0.   0.   1.   0.82 0.61 0.   0.   0.68]</t>
  </si>
  <si>
    <t xml:space="preserve"> [0.   0.   0.   1.   0.7  0.   0.   0.   0.  ]]</t>
  </si>
  <si>
    <t>(pyjags) cflorios@LAPTOP-FSK795HM:~/pyjags/pyhags_demo2/pyhags_demo3$</t>
  </si>
  <si>
    <t>W1</t>
  </si>
  <si>
    <t>W2</t>
  </si>
  <si>
    <t>W3</t>
  </si>
  <si>
    <t>W4</t>
  </si>
  <si>
    <t>W5</t>
  </si>
  <si>
    <t>W6</t>
  </si>
  <si>
    <t>W7</t>
  </si>
  <si>
    <t>W8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</si>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</sst>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0" fontId="0" fillId="2" borderId="0" xfId="0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Environmental</a:t>
            </a:r>
            <a:r>
              <a:rPr lang="en-GB" baseline="0"/>
              <a:t> Sustainability</a:t>
            </a:r>
            <a:r>
              <a:rPr lang="en-GB"/>
              <a:t> Weights all DMs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Φύλλο1!$M$6:$U$6</c:f>
              <c:strCache>
                <c:ptCount val="9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</c:strCache>
            </c:strRef>
          </c:cat>
          <c:val>
            <c:numRef>
              <c:f>Φύλλο1!$M$7:$U$7</c:f>
              <c:numCache>
                <c:formatCode>0.0000</c:formatCode>
                <c:ptCount val="9"/>
                <c:pt idx="0">
                  <c:v>0.12140947000000001</c:v>
                </c:pt>
                <c:pt idx="1">
                  <c:v>0.11704826</c:v>
                </c:pt>
                <c:pt idx="2">
                  <c:v>0.16153137000000001</c:v>
                </c:pt>
                <c:pt idx="3">
                  <c:v>6.7396070000000002E-2</c:v>
                </c:pt>
                <c:pt idx="4">
                  <c:v>8.9829539999999999E-2</c:v>
                </c:pt>
                <c:pt idx="5">
                  <c:v>0.10271482</c:v>
                </c:pt>
                <c:pt idx="6">
                  <c:v>0.13157545000000001</c:v>
                </c:pt>
                <c:pt idx="7">
                  <c:v>0.10871451</c:v>
                </c:pt>
                <c:pt idx="8">
                  <c:v>9.9780510000000003E-2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F-4FB2-9BB1-05D7B534B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58319"/>
        <c:axId val="206072239"/>
      </c:barChart>
      <c:catAx>
        <c:axId val="2060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2239"/>
        <c:crosses val="autoZero"/>
        <c:auto val="1"/>
        <c:lblAlgn val="ctr"/>
        <c:lblOffset val="100"/>
        <c:noMultiLvlLbl val="0"/>
      </c:catAx>
      <c:valAx>
        <c:axId val="2060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7</xdr:row>
      <xdr:rowOff>185737</xdr:rowOff>
    </xdr:from>
    <xdr:to>
      <xdr:col>19</xdr:col>
      <xdr:colOff>323850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2D026-EDEE-453B-A278-71A6C8C11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8</xdr:row>
      <xdr:rowOff>0</xdr:rowOff>
    </xdr:from>
    <xdr:to>
      <xdr:col>32</xdr:col>
      <xdr:colOff>457200</xdr:colOff>
      <xdr:row>34</xdr:row>
      <xdr:rowOff>47244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95BBB7-2A9C-30B7-C66B-1C00F2EC8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1524000"/>
          <a:ext cx="7772400" cy="50002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321469</xdr:colOff>
      <xdr:row>53</xdr:row>
      <xdr:rowOff>166687</xdr:rowOff>
    </xdr:from>
    <xdr:to>
      <xdr:col>20</xdr:col>
      <xdr:colOff>104775</xdr:colOff>
      <xdr:row>87</xdr:row>
      <xdr:rowOff>109537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AF7707-75D4-0083-EF89-0509E5BC5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4188" y="14644687"/>
          <a:ext cx="7772400" cy="7789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U33"/>
  <sheetViews>
    <sheetView topLeftCell="L8" workbookViewId="0">
      <selection activeCell="AH32" sqref="AH32"/>
    </sheetView>
  </sheetViews>
  <sheetFormatPr defaultRowHeight="15" x14ac:dyDescent="0.25"/>
  <sheetData>
    <row r="1" spans="3:21" x14ac:dyDescent="0.25">
      <c r="C1" t="s">
        <v>0</v>
      </c>
    </row>
    <row r="2" spans="3:21" x14ac:dyDescent="0.25">
      <c r="M2" s="1">
        <v>0.12415514</v>
      </c>
      <c r="N2" s="1">
        <v>0.11774254000000001</v>
      </c>
      <c r="O2" s="1">
        <v>0.16341964</v>
      </c>
      <c r="P2" s="1">
        <v>7.0008790000000001E-2</v>
      </c>
      <c r="Q2" s="1">
        <v>8.6705199999999996E-2</v>
      </c>
      <c r="R2" s="1">
        <v>0.10348612</v>
      </c>
      <c r="S2" s="1">
        <v>0.12608779000000001</v>
      </c>
      <c r="T2" s="1">
        <v>0.10783667</v>
      </c>
      <c r="U2" s="1">
        <v>0.10055811000000001</v>
      </c>
    </row>
    <row r="6" spans="3:21" x14ac:dyDescent="0.25">
      <c r="M6" t="s">
        <v>1</v>
      </c>
      <c r="N6" t="s">
        <v>2</v>
      </c>
      <c r="O6" t="s">
        <v>3</v>
      </c>
      <c r="P6" t="s">
        <v>4</v>
      </c>
      <c r="Q6" t="s">
        <v>5</v>
      </c>
      <c r="R6" t="s">
        <v>6</v>
      </c>
      <c r="S6" t="s">
        <v>7</v>
      </c>
      <c r="T6" t="s">
        <v>8</v>
      </c>
      <c r="U6" t="s">
        <v>9</v>
      </c>
    </row>
    <row r="7" spans="3:21" x14ac:dyDescent="0.25">
      <c r="M7" s="1">
        <v>0.12140947000000001</v>
      </c>
      <c r="N7" s="1">
        <v>0.11704826</v>
      </c>
      <c r="O7" s="1">
        <v>0.16153137000000001</v>
      </c>
      <c r="P7" s="1">
        <v>6.7396070000000002E-2</v>
      </c>
      <c r="Q7" s="1">
        <v>8.9829539999999999E-2</v>
      </c>
      <c r="R7" s="1">
        <v>0.10271482</v>
      </c>
      <c r="S7" s="1">
        <v>0.13157545000000001</v>
      </c>
      <c r="T7" s="1">
        <v>0.10871451</v>
      </c>
      <c r="U7" s="1">
        <v>9.9780510000000003E-2</v>
      </c>
    </row>
    <row r="25" spans="13:13" x14ac:dyDescent="0.25">
      <c r="M25" s="1">
        <v>0.12140947000000001</v>
      </c>
    </row>
    <row r="26" spans="13:13" x14ac:dyDescent="0.25">
      <c r="M26" s="1">
        <v>0.11704826</v>
      </c>
    </row>
    <row r="27" spans="13:13" x14ac:dyDescent="0.25">
      <c r="M27" s="1">
        <v>0.16153137000000001</v>
      </c>
    </row>
    <row r="28" spans="13:13" x14ac:dyDescent="0.25">
      <c r="M28" s="1">
        <v>6.7396070000000002E-2</v>
      </c>
    </row>
    <row r="29" spans="13:13" x14ac:dyDescent="0.25">
      <c r="M29" s="1">
        <v>8.9829539999999999E-2</v>
      </c>
    </row>
    <row r="30" spans="13:13" x14ac:dyDescent="0.25">
      <c r="M30" s="1">
        <v>0.10271482</v>
      </c>
    </row>
    <row r="31" spans="13:13" x14ac:dyDescent="0.25">
      <c r="M31" s="1">
        <v>0.13157545000000001</v>
      </c>
    </row>
    <row r="32" spans="13:13" x14ac:dyDescent="0.25">
      <c r="M32" s="1">
        <v>0.10871451</v>
      </c>
    </row>
    <row r="33" spans="13:13" x14ac:dyDescent="0.25">
      <c r="M33" s="1">
        <v>9.9780510000000003E-2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7ECC-0314-451F-A6A4-8F1AAF1B4916}">
  <dimension ref="A1:P51"/>
  <sheetViews>
    <sheetView topLeftCell="A37" workbookViewId="0">
      <selection activeCell="Q43" sqref="Q43"/>
    </sheetView>
  </sheetViews>
  <sheetFormatPr defaultRowHeight="15" x14ac:dyDescent="0.25"/>
  <cols>
    <col min="1" max="1" width="45.5703125" customWidth="1"/>
    <col min="14" max="14" width="36.5703125" bestFit="1" customWidth="1"/>
    <col min="15" max="15" width="22.85546875" bestFit="1" customWidth="1"/>
    <col min="16" max="16" width="23.85546875" bestFit="1" customWidth="1"/>
  </cols>
  <sheetData>
    <row r="1" spans="1:1" ht="30" x14ac:dyDescent="0.25">
      <c r="A1" s="3" t="s">
        <v>10</v>
      </c>
    </row>
    <row r="2" spans="1:1" ht="45" x14ac:dyDescent="0.25">
      <c r="A2" s="3" t="s">
        <v>11</v>
      </c>
    </row>
    <row r="3" spans="1:1" ht="45" x14ac:dyDescent="0.25">
      <c r="A3" s="3" t="s">
        <v>12</v>
      </c>
    </row>
    <row r="4" spans="1:1" ht="45" x14ac:dyDescent="0.25">
      <c r="A4" s="3" t="s">
        <v>13</v>
      </c>
    </row>
    <row r="5" spans="1:1" ht="45" x14ac:dyDescent="0.25">
      <c r="A5" s="3" t="s">
        <v>14</v>
      </c>
    </row>
    <row r="6" spans="1:1" ht="30" x14ac:dyDescent="0.25">
      <c r="A6" s="3" t="s">
        <v>15</v>
      </c>
    </row>
    <row r="7" spans="1:1" ht="30" x14ac:dyDescent="0.25">
      <c r="A7" s="3" t="s">
        <v>16</v>
      </c>
    </row>
    <row r="8" spans="1:1" ht="45" x14ac:dyDescent="0.25">
      <c r="A8" s="3" t="s">
        <v>17</v>
      </c>
    </row>
    <row r="9" spans="1:1" ht="90" x14ac:dyDescent="0.25">
      <c r="A9" s="3" t="s">
        <v>18</v>
      </c>
    </row>
    <row r="10" spans="1:1" x14ac:dyDescent="0.25">
      <c r="A10" s="3" t="s">
        <v>19</v>
      </c>
    </row>
    <row r="11" spans="1:1" x14ac:dyDescent="0.25">
      <c r="A11" s="3" t="s">
        <v>20</v>
      </c>
    </row>
    <row r="12" spans="1:1" x14ac:dyDescent="0.25">
      <c r="A12" s="3" t="s">
        <v>21</v>
      </c>
    </row>
    <row r="13" spans="1:1" x14ac:dyDescent="0.25">
      <c r="A13" s="3" t="s">
        <v>22</v>
      </c>
    </row>
    <row r="14" spans="1:1" x14ac:dyDescent="0.25">
      <c r="A14" s="3" t="s">
        <v>23</v>
      </c>
    </row>
    <row r="15" spans="1:1" x14ac:dyDescent="0.25">
      <c r="A15" s="3" t="s">
        <v>24</v>
      </c>
    </row>
    <row r="16" spans="1:1" x14ac:dyDescent="0.25">
      <c r="A16" s="3" t="s">
        <v>25</v>
      </c>
    </row>
    <row r="17" spans="1:1" x14ac:dyDescent="0.25">
      <c r="A17" s="3" t="s">
        <v>26</v>
      </c>
    </row>
    <row r="18" spans="1:1" x14ac:dyDescent="0.25">
      <c r="A18" s="3" t="s">
        <v>27</v>
      </c>
    </row>
    <row r="19" spans="1:1" x14ac:dyDescent="0.25">
      <c r="A19" s="3" t="s">
        <v>28</v>
      </c>
    </row>
    <row r="20" spans="1:1" x14ac:dyDescent="0.25">
      <c r="A20" s="3" t="s">
        <v>29</v>
      </c>
    </row>
    <row r="21" spans="1:1" x14ac:dyDescent="0.25">
      <c r="A21" s="3" t="s">
        <v>30</v>
      </c>
    </row>
    <row r="22" spans="1:1" x14ac:dyDescent="0.25">
      <c r="A22" s="3" t="s">
        <v>31</v>
      </c>
    </row>
    <row r="23" spans="1:1" x14ac:dyDescent="0.25">
      <c r="A23" s="3" t="s">
        <v>32</v>
      </c>
    </row>
    <row r="24" spans="1:1" x14ac:dyDescent="0.25">
      <c r="A24" s="3" t="s">
        <v>33</v>
      </c>
    </row>
    <row r="25" spans="1:1" x14ac:dyDescent="0.25">
      <c r="A25" s="3" t="s">
        <v>34</v>
      </c>
    </row>
    <row r="26" spans="1:1" x14ac:dyDescent="0.25">
      <c r="A26" s="3" t="s">
        <v>35</v>
      </c>
    </row>
    <row r="27" spans="1:1" x14ac:dyDescent="0.25">
      <c r="A27" s="3" t="s">
        <v>36</v>
      </c>
    </row>
    <row r="28" spans="1:1" x14ac:dyDescent="0.25">
      <c r="A28" s="3" t="s">
        <v>37</v>
      </c>
    </row>
    <row r="29" spans="1:1" x14ac:dyDescent="0.25">
      <c r="A29" s="3" t="s">
        <v>38</v>
      </c>
    </row>
    <row r="30" spans="1:1" x14ac:dyDescent="0.25">
      <c r="A30" s="3" t="s">
        <v>39</v>
      </c>
    </row>
    <row r="31" spans="1:1" x14ac:dyDescent="0.25">
      <c r="A31" s="3" t="s">
        <v>40</v>
      </c>
    </row>
    <row r="32" spans="1:1" x14ac:dyDescent="0.25">
      <c r="A32" s="3" t="s">
        <v>41</v>
      </c>
    </row>
    <row r="33" spans="1:16" x14ac:dyDescent="0.25">
      <c r="A33" s="3" t="s">
        <v>42</v>
      </c>
    </row>
    <row r="34" spans="1:16" x14ac:dyDescent="0.25">
      <c r="A34" s="3" t="s">
        <v>43</v>
      </c>
    </row>
    <row r="35" spans="1:16" x14ac:dyDescent="0.25">
      <c r="A35" s="3" t="s">
        <v>44</v>
      </c>
    </row>
    <row r="36" spans="1:16" x14ac:dyDescent="0.25">
      <c r="A36" s="3" t="s">
        <v>45</v>
      </c>
    </row>
    <row r="37" spans="1:16" x14ac:dyDescent="0.25">
      <c r="A37" s="3" t="s">
        <v>46</v>
      </c>
    </row>
    <row r="38" spans="1:16" x14ac:dyDescent="0.25">
      <c r="A38" s="3" t="s">
        <v>47</v>
      </c>
    </row>
    <row r="39" spans="1:16" ht="30" x14ac:dyDescent="0.25">
      <c r="A39" s="3" t="s">
        <v>48</v>
      </c>
    </row>
    <row r="40" spans="1:16" ht="30" x14ac:dyDescent="0.25">
      <c r="A40" s="3" t="s">
        <v>49</v>
      </c>
    </row>
    <row r="41" spans="1:16" ht="45" x14ac:dyDescent="0.25">
      <c r="A41" s="3" t="s">
        <v>50</v>
      </c>
    </row>
    <row r="42" spans="1:16" x14ac:dyDescent="0.25">
      <c r="A42" s="3" t="s">
        <v>51</v>
      </c>
      <c r="N42" t="s">
        <v>52</v>
      </c>
      <c r="O42" t="s">
        <v>53</v>
      </c>
      <c r="P42" t="s">
        <v>54</v>
      </c>
    </row>
    <row r="43" spans="1:16" x14ac:dyDescent="0.25">
      <c r="A43" s="3" t="s">
        <v>55</v>
      </c>
      <c r="C43">
        <v>0</v>
      </c>
      <c r="D43">
        <v>0.57999999999999996</v>
      </c>
      <c r="E43">
        <v>0</v>
      </c>
      <c r="F43">
        <v>1</v>
      </c>
      <c r="G43">
        <v>0.98</v>
      </c>
      <c r="H43">
        <v>0.88</v>
      </c>
      <c r="I43">
        <v>0</v>
      </c>
      <c r="J43">
        <v>0.77</v>
      </c>
      <c r="K43">
        <v>0.92</v>
      </c>
      <c r="N43" s="4">
        <v>2</v>
      </c>
      <c r="O43" s="5">
        <v>8</v>
      </c>
      <c r="P43" s="6">
        <v>26</v>
      </c>
    </row>
    <row r="44" spans="1:16" x14ac:dyDescent="0.25">
      <c r="A44" s="3" t="s">
        <v>56</v>
      </c>
      <c r="C44">
        <v>0</v>
      </c>
      <c r="D44">
        <v>0</v>
      </c>
      <c r="E44">
        <v>0</v>
      </c>
      <c r="F44">
        <v>1</v>
      </c>
      <c r="G44">
        <v>0.96</v>
      </c>
      <c r="H44">
        <v>0.81</v>
      </c>
      <c r="I44">
        <v>0</v>
      </c>
      <c r="J44">
        <v>0.69</v>
      </c>
      <c r="K44">
        <v>0.85</v>
      </c>
      <c r="N44">
        <f>COUNTIFS(C43:K51,"&gt;0,50",C43:K51,"&lt;0,60")</f>
        <v>2</v>
      </c>
      <c r="O44">
        <f>COUNTIFS(C43:K51,"&gt;0,60",C43:K51,"&lt;0,80")</f>
        <v>8</v>
      </c>
      <c r="P44">
        <f>COUNTIFS(C43:K51,"&gt;0,80",C43:K51,"&lt;=1")</f>
        <v>26</v>
      </c>
    </row>
    <row r="45" spans="1:16" x14ac:dyDescent="0.25">
      <c r="A45" s="3" t="s">
        <v>57</v>
      </c>
      <c r="C45">
        <v>0.97</v>
      </c>
      <c r="D45">
        <v>0.99</v>
      </c>
      <c r="E45">
        <v>0</v>
      </c>
      <c r="F45">
        <v>1</v>
      </c>
      <c r="G45">
        <v>1</v>
      </c>
      <c r="H45">
        <v>1</v>
      </c>
      <c r="I45">
        <v>0.92</v>
      </c>
      <c r="J45">
        <v>1</v>
      </c>
      <c r="K45">
        <v>1</v>
      </c>
    </row>
    <row r="46" spans="1:16" x14ac:dyDescent="0.25">
      <c r="A46" s="3" t="s">
        <v>58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6" x14ac:dyDescent="0.25">
      <c r="A47" s="3" t="s">
        <v>59</v>
      </c>
      <c r="C47">
        <v>0</v>
      </c>
      <c r="D47">
        <v>0</v>
      </c>
      <c r="E47">
        <v>0</v>
      </c>
      <c r="F47">
        <v>0.98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6" x14ac:dyDescent="0.25">
      <c r="A48" s="3" t="s">
        <v>60</v>
      </c>
      <c r="C48">
        <v>0</v>
      </c>
      <c r="D48">
        <v>0</v>
      </c>
      <c r="E48">
        <v>0</v>
      </c>
      <c r="F48">
        <v>1</v>
      </c>
      <c r="G48">
        <v>0.77</v>
      </c>
      <c r="H48">
        <v>0</v>
      </c>
      <c r="I48">
        <v>0</v>
      </c>
      <c r="J48">
        <v>0</v>
      </c>
      <c r="K48">
        <v>0.56999999999999995</v>
      </c>
    </row>
    <row r="49" spans="1:11" x14ac:dyDescent="0.25">
      <c r="A49" s="3" t="s">
        <v>61</v>
      </c>
      <c r="C49">
        <v>0.7</v>
      </c>
      <c r="D49">
        <v>0.75</v>
      </c>
      <c r="E49">
        <v>0</v>
      </c>
      <c r="F49">
        <v>1</v>
      </c>
      <c r="G49">
        <v>0.99</v>
      </c>
      <c r="H49">
        <v>0.95</v>
      </c>
      <c r="I49">
        <v>0</v>
      </c>
      <c r="J49">
        <v>0.89</v>
      </c>
      <c r="K49">
        <v>0.97</v>
      </c>
    </row>
    <row r="50" spans="1:11" x14ac:dyDescent="0.25">
      <c r="A50" s="3" t="s">
        <v>62</v>
      </c>
      <c r="C50">
        <v>0</v>
      </c>
      <c r="D50">
        <v>0</v>
      </c>
      <c r="E50">
        <v>0</v>
      </c>
      <c r="F50">
        <v>1</v>
      </c>
      <c r="G50">
        <v>0.89</v>
      </c>
      <c r="H50">
        <v>0.68</v>
      </c>
      <c r="I50">
        <v>0</v>
      </c>
      <c r="J50">
        <v>0</v>
      </c>
      <c r="K50">
        <v>0.75</v>
      </c>
    </row>
    <row r="51" spans="1:11" x14ac:dyDescent="0.25">
      <c r="A51" s="3" t="s">
        <v>63</v>
      </c>
      <c r="C51">
        <v>0</v>
      </c>
      <c r="D51">
        <v>0</v>
      </c>
      <c r="E51">
        <v>0</v>
      </c>
      <c r="F51">
        <v>1</v>
      </c>
      <c r="G51">
        <v>0.71</v>
      </c>
      <c r="H51">
        <v>0</v>
      </c>
      <c r="I51">
        <v>0</v>
      </c>
      <c r="J51">
        <v>0</v>
      </c>
      <c r="K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BCCA-FAB6-49CC-982E-7DC0D88404BB}">
  <dimension ref="A1:N38"/>
  <sheetViews>
    <sheetView topLeftCell="A8" workbookViewId="0">
      <selection activeCell="K19" sqref="K19"/>
    </sheetView>
  </sheetViews>
  <sheetFormatPr defaultRowHeight="15" x14ac:dyDescent="0.25"/>
  <sheetData>
    <row r="1" spans="1:10" x14ac:dyDescent="0.25">
      <c r="A1" t="s">
        <v>64</v>
      </c>
      <c r="B1" t="s">
        <v>65</v>
      </c>
      <c r="C1" t="s">
        <v>66</v>
      </c>
      <c r="D1" t="s">
        <v>67</v>
      </c>
    </row>
    <row r="2" spans="1:10" x14ac:dyDescent="0.25">
      <c r="A2" t="s">
        <v>68</v>
      </c>
      <c r="B2" t="s">
        <v>69</v>
      </c>
      <c r="C2" t="s">
        <v>70</v>
      </c>
      <c r="D2" t="s">
        <v>71</v>
      </c>
    </row>
    <row r="3" spans="1:10" x14ac:dyDescent="0.25">
      <c r="A3" t="s">
        <v>72</v>
      </c>
      <c r="B3" t="s">
        <v>73</v>
      </c>
      <c r="C3" t="s">
        <v>74</v>
      </c>
    </row>
    <row r="4" spans="1:10" x14ac:dyDescent="0.25">
      <c r="A4" t="s">
        <v>75</v>
      </c>
      <c r="B4" t="s">
        <v>76</v>
      </c>
      <c r="C4" t="s">
        <v>77</v>
      </c>
    </row>
    <row r="5" spans="1:10" x14ac:dyDescent="0.25">
      <c r="A5" t="s">
        <v>78</v>
      </c>
      <c r="B5" t="s">
        <v>79</v>
      </c>
      <c r="C5" t="s">
        <v>80</v>
      </c>
    </row>
    <row r="6" spans="1:10" x14ac:dyDescent="0.25">
      <c r="A6" t="s">
        <v>64</v>
      </c>
      <c r="B6" t="s">
        <v>65</v>
      </c>
      <c r="C6" t="s">
        <v>81</v>
      </c>
      <c r="D6" t="s">
        <v>79</v>
      </c>
    </row>
    <row r="7" spans="1:10" x14ac:dyDescent="0.25">
      <c r="A7" t="s">
        <v>82</v>
      </c>
      <c r="B7">
        <v>3</v>
      </c>
      <c r="C7">
        <v>1</v>
      </c>
      <c r="D7">
        <v>9</v>
      </c>
      <c r="E7">
        <v>6</v>
      </c>
      <c r="F7">
        <v>7</v>
      </c>
      <c r="G7">
        <v>4</v>
      </c>
      <c r="H7">
        <v>6</v>
      </c>
      <c r="I7" t="s">
        <v>83</v>
      </c>
    </row>
    <row r="8" spans="1:10" x14ac:dyDescent="0.25">
      <c r="B8" t="s">
        <v>84</v>
      </c>
      <c r="C8">
        <v>5</v>
      </c>
      <c r="D8">
        <v>2</v>
      </c>
      <c r="E8">
        <v>8</v>
      </c>
      <c r="F8">
        <v>9</v>
      </c>
      <c r="G8">
        <v>7</v>
      </c>
      <c r="H8">
        <v>1</v>
      </c>
      <c r="I8">
        <v>6</v>
      </c>
      <c r="J8" t="s">
        <v>85</v>
      </c>
    </row>
    <row r="9" spans="1:10" x14ac:dyDescent="0.25">
      <c r="B9" t="s">
        <v>86</v>
      </c>
      <c r="C9">
        <v>2</v>
      </c>
      <c r="D9">
        <v>3</v>
      </c>
      <c r="E9">
        <v>2</v>
      </c>
      <c r="F9">
        <v>5</v>
      </c>
      <c r="G9">
        <v>4</v>
      </c>
      <c r="H9">
        <v>2</v>
      </c>
      <c r="I9">
        <v>2</v>
      </c>
      <c r="J9" t="s">
        <v>83</v>
      </c>
    </row>
    <row r="10" spans="1:10" x14ac:dyDescent="0.25">
      <c r="B10" t="s">
        <v>86</v>
      </c>
      <c r="C10">
        <v>3</v>
      </c>
      <c r="D10">
        <v>1</v>
      </c>
      <c r="E10">
        <v>9</v>
      </c>
      <c r="F10">
        <v>7</v>
      </c>
      <c r="G10">
        <v>5</v>
      </c>
      <c r="H10">
        <v>4</v>
      </c>
      <c r="I10">
        <v>6</v>
      </c>
      <c r="J10" t="s">
        <v>87</v>
      </c>
    </row>
    <row r="11" spans="1:10" x14ac:dyDescent="0.25">
      <c r="B11" t="s">
        <v>88</v>
      </c>
      <c r="C11">
        <v>3</v>
      </c>
      <c r="D11">
        <v>3</v>
      </c>
      <c r="E11">
        <v>5</v>
      </c>
      <c r="F11">
        <v>7</v>
      </c>
      <c r="G11">
        <v>5</v>
      </c>
      <c r="H11">
        <v>1</v>
      </c>
      <c r="I11">
        <v>3</v>
      </c>
      <c r="J11" t="s">
        <v>89</v>
      </c>
    </row>
    <row r="12" spans="1:10" x14ac:dyDescent="0.25">
      <c r="B12" t="s">
        <v>86</v>
      </c>
      <c r="C12">
        <v>3</v>
      </c>
      <c r="D12">
        <v>3</v>
      </c>
      <c r="E12">
        <v>9</v>
      </c>
      <c r="F12">
        <v>4</v>
      </c>
      <c r="G12">
        <v>5</v>
      </c>
      <c r="H12">
        <v>1</v>
      </c>
      <c r="I12">
        <v>4</v>
      </c>
      <c r="J12" t="s">
        <v>90</v>
      </c>
    </row>
    <row r="13" spans="1:10" x14ac:dyDescent="0.25">
      <c r="B13" t="s">
        <v>91</v>
      </c>
      <c r="C13">
        <v>6</v>
      </c>
      <c r="D13">
        <v>4</v>
      </c>
      <c r="E13">
        <v>4</v>
      </c>
      <c r="F13">
        <v>5</v>
      </c>
      <c r="G13">
        <v>6</v>
      </c>
      <c r="H13">
        <v>4</v>
      </c>
      <c r="I13">
        <v>1</v>
      </c>
      <c r="J13" t="s">
        <v>83</v>
      </c>
    </row>
    <row r="14" spans="1:10" x14ac:dyDescent="0.25">
      <c r="B14" t="s">
        <v>86</v>
      </c>
      <c r="C14">
        <v>4</v>
      </c>
      <c r="D14">
        <v>3</v>
      </c>
      <c r="E14">
        <v>7</v>
      </c>
      <c r="F14">
        <v>9</v>
      </c>
      <c r="G14">
        <v>6</v>
      </c>
      <c r="H14">
        <v>5</v>
      </c>
      <c r="I14">
        <v>1</v>
      </c>
      <c r="J14" t="s">
        <v>87</v>
      </c>
    </row>
    <row r="15" spans="1:10" x14ac:dyDescent="0.25">
      <c r="B15" t="s">
        <v>92</v>
      </c>
      <c r="C15">
        <v>1</v>
      </c>
      <c r="D15">
        <v>1</v>
      </c>
      <c r="E15">
        <v>9</v>
      </c>
      <c r="F15">
        <v>2</v>
      </c>
      <c r="G15">
        <v>2</v>
      </c>
      <c r="H15">
        <v>3</v>
      </c>
      <c r="I15">
        <v>1</v>
      </c>
      <c r="J15" t="s">
        <v>89</v>
      </c>
    </row>
    <row r="16" spans="1:10" x14ac:dyDescent="0.25">
      <c r="B16" t="s">
        <v>86</v>
      </c>
      <c r="C16">
        <v>3</v>
      </c>
      <c r="D16">
        <v>1</v>
      </c>
      <c r="E16">
        <v>9</v>
      </c>
      <c r="F16">
        <v>1</v>
      </c>
      <c r="G16">
        <v>2</v>
      </c>
      <c r="H16">
        <v>1</v>
      </c>
      <c r="I16">
        <v>1</v>
      </c>
      <c r="J16" t="s">
        <v>83</v>
      </c>
    </row>
    <row r="17" spans="1:10" x14ac:dyDescent="0.25">
      <c r="B17" t="s">
        <v>84</v>
      </c>
      <c r="C17">
        <v>3</v>
      </c>
      <c r="D17">
        <v>2</v>
      </c>
      <c r="E17">
        <v>1</v>
      </c>
      <c r="F17">
        <v>4</v>
      </c>
      <c r="G17">
        <v>4</v>
      </c>
      <c r="H17">
        <v>3</v>
      </c>
      <c r="I17">
        <v>8</v>
      </c>
      <c r="J17" t="s">
        <v>90</v>
      </c>
    </row>
    <row r="18" spans="1:10" x14ac:dyDescent="0.25">
      <c r="B18" t="s">
        <v>88</v>
      </c>
      <c r="C18">
        <v>4</v>
      </c>
      <c r="D18">
        <v>1</v>
      </c>
      <c r="E18">
        <v>5</v>
      </c>
      <c r="F18">
        <v>6</v>
      </c>
      <c r="G18">
        <v>3</v>
      </c>
      <c r="H18">
        <v>2</v>
      </c>
      <c r="I18">
        <v>4</v>
      </c>
      <c r="J18" t="s">
        <v>85</v>
      </c>
    </row>
    <row r="19" spans="1:10" x14ac:dyDescent="0.25">
      <c r="B19" t="s">
        <v>84</v>
      </c>
      <c r="C19">
        <v>3</v>
      </c>
      <c r="D19">
        <v>1</v>
      </c>
      <c r="E19">
        <v>7</v>
      </c>
      <c r="F19">
        <v>4</v>
      </c>
      <c r="G19">
        <v>3</v>
      </c>
      <c r="H19">
        <v>6</v>
      </c>
      <c r="I19">
        <v>3</v>
      </c>
      <c r="J19" t="s">
        <v>83</v>
      </c>
    </row>
    <row r="20" spans="1:10" x14ac:dyDescent="0.25">
      <c r="B20" t="s">
        <v>93</v>
      </c>
      <c r="C20">
        <v>9</v>
      </c>
      <c r="D20">
        <v>2</v>
      </c>
      <c r="E20">
        <v>1</v>
      </c>
      <c r="F20">
        <v>3</v>
      </c>
      <c r="G20">
        <v>5</v>
      </c>
      <c r="H20">
        <v>4</v>
      </c>
      <c r="I20">
        <v>6</v>
      </c>
      <c r="J20" t="s">
        <v>94</v>
      </c>
    </row>
    <row r="21" spans="1:10" x14ac:dyDescent="0.25">
      <c r="A21" t="s">
        <v>95</v>
      </c>
      <c r="B21">
        <v>5</v>
      </c>
      <c r="C21">
        <v>9</v>
      </c>
      <c r="D21">
        <v>1</v>
      </c>
      <c r="E21">
        <v>7</v>
      </c>
      <c r="F21">
        <v>5</v>
      </c>
      <c r="G21">
        <v>4</v>
      </c>
      <c r="H21">
        <v>3</v>
      </c>
      <c r="I21" t="s">
        <v>96</v>
      </c>
    </row>
    <row r="22" spans="1:10" x14ac:dyDescent="0.25">
      <c r="B22" t="s">
        <v>97</v>
      </c>
      <c r="C22">
        <v>5</v>
      </c>
      <c r="D22">
        <v>8</v>
      </c>
      <c r="E22">
        <v>2</v>
      </c>
      <c r="F22">
        <v>1</v>
      </c>
      <c r="G22">
        <v>3</v>
      </c>
      <c r="H22">
        <v>9</v>
      </c>
      <c r="I22">
        <v>4</v>
      </c>
      <c r="J22" t="s">
        <v>96</v>
      </c>
    </row>
    <row r="23" spans="1:10" x14ac:dyDescent="0.25">
      <c r="B23" t="s">
        <v>93</v>
      </c>
      <c r="C23">
        <v>8</v>
      </c>
      <c r="D23">
        <v>7</v>
      </c>
      <c r="E23">
        <v>8</v>
      </c>
      <c r="F23">
        <v>5</v>
      </c>
      <c r="G23">
        <v>6</v>
      </c>
      <c r="H23">
        <v>8</v>
      </c>
      <c r="I23">
        <v>8</v>
      </c>
      <c r="J23" t="s">
        <v>98</v>
      </c>
    </row>
    <row r="24" spans="1:10" x14ac:dyDescent="0.25">
      <c r="B24" t="s">
        <v>93</v>
      </c>
      <c r="C24">
        <v>7</v>
      </c>
      <c r="D24">
        <v>9</v>
      </c>
      <c r="E24">
        <v>1</v>
      </c>
      <c r="F24">
        <v>3</v>
      </c>
      <c r="G24">
        <v>5</v>
      </c>
      <c r="H24">
        <v>6</v>
      </c>
      <c r="I24">
        <v>4</v>
      </c>
      <c r="J24" t="s">
        <v>89</v>
      </c>
    </row>
    <row r="25" spans="1:10" x14ac:dyDescent="0.25">
      <c r="B25" t="s">
        <v>91</v>
      </c>
      <c r="C25">
        <v>6</v>
      </c>
      <c r="D25">
        <v>6</v>
      </c>
      <c r="E25">
        <v>5</v>
      </c>
      <c r="F25">
        <v>1</v>
      </c>
      <c r="G25">
        <v>7</v>
      </c>
      <c r="H25">
        <v>8</v>
      </c>
      <c r="I25">
        <v>7</v>
      </c>
      <c r="J25" t="s">
        <v>98</v>
      </c>
    </row>
    <row r="26" spans="1:10" x14ac:dyDescent="0.25">
      <c r="B26" t="s">
        <v>84</v>
      </c>
      <c r="C26">
        <v>5</v>
      </c>
      <c r="D26">
        <v>4</v>
      </c>
      <c r="E26">
        <v>1</v>
      </c>
      <c r="F26">
        <v>4</v>
      </c>
      <c r="G26">
        <v>5</v>
      </c>
      <c r="H26">
        <v>4</v>
      </c>
      <c r="I26">
        <v>6</v>
      </c>
      <c r="J26" t="s">
        <v>90</v>
      </c>
    </row>
    <row r="27" spans="1:10" x14ac:dyDescent="0.25">
      <c r="B27" t="s">
        <v>99</v>
      </c>
      <c r="C27">
        <v>5</v>
      </c>
      <c r="D27">
        <v>3</v>
      </c>
      <c r="E27">
        <v>3</v>
      </c>
      <c r="F27">
        <v>4</v>
      </c>
      <c r="G27">
        <v>4</v>
      </c>
      <c r="H27">
        <v>3</v>
      </c>
      <c r="I27">
        <v>7</v>
      </c>
      <c r="J27" t="s">
        <v>100</v>
      </c>
    </row>
    <row r="28" spans="1:10" x14ac:dyDescent="0.25">
      <c r="B28" t="s">
        <v>93</v>
      </c>
      <c r="C28">
        <v>6</v>
      </c>
      <c r="D28">
        <v>7</v>
      </c>
      <c r="E28">
        <v>3</v>
      </c>
      <c r="F28">
        <v>9</v>
      </c>
      <c r="G28">
        <v>4</v>
      </c>
      <c r="H28">
        <v>5</v>
      </c>
      <c r="I28">
        <v>1</v>
      </c>
      <c r="J28" t="s">
        <v>89</v>
      </c>
    </row>
    <row r="29" spans="1:10" x14ac:dyDescent="0.25">
      <c r="B29" t="s">
        <v>101</v>
      </c>
      <c r="C29">
        <v>9</v>
      </c>
      <c r="D29">
        <v>9</v>
      </c>
      <c r="E29">
        <v>1</v>
      </c>
      <c r="F29">
        <v>7</v>
      </c>
      <c r="G29">
        <v>7</v>
      </c>
      <c r="H29">
        <v>7</v>
      </c>
      <c r="I29">
        <v>9</v>
      </c>
      <c r="J29" t="s">
        <v>87</v>
      </c>
    </row>
    <row r="30" spans="1:10" x14ac:dyDescent="0.25">
      <c r="B30" t="s">
        <v>93</v>
      </c>
      <c r="C30">
        <v>7</v>
      </c>
      <c r="D30">
        <v>9</v>
      </c>
      <c r="E30">
        <v>1</v>
      </c>
      <c r="F30">
        <v>9</v>
      </c>
      <c r="G30">
        <v>8</v>
      </c>
      <c r="H30">
        <v>9</v>
      </c>
      <c r="I30">
        <v>9</v>
      </c>
      <c r="J30" t="s">
        <v>98</v>
      </c>
    </row>
    <row r="31" spans="1:10" x14ac:dyDescent="0.25">
      <c r="B31" t="s">
        <v>91</v>
      </c>
      <c r="C31">
        <v>6</v>
      </c>
      <c r="D31">
        <v>7</v>
      </c>
      <c r="E31">
        <v>8</v>
      </c>
      <c r="F31">
        <v>5</v>
      </c>
      <c r="G31">
        <v>5</v>
      </c>
      <c r="H31">
        <v>6</v>
      </c>
      <c r="I31">
        <v>1</v>
      </c>
      <c r="J31" t="s">
        <v>85</v>
      </c>
    </row>
    <row r="32" spans="1:10" x14ac:dyDescent="0.25">
      <c r="B32" t="s">
        <v>84</v>
      </c>
      <c r="C32">
        <v>3</v>
      </c>
      <c r="D32">
        <v>6</v>
      </c>
      <c r="E32">
        <v>2</v>
      </c>
      <c r="F32">
        <v>1</v>
      </c>
      <c r="G32">
        <v>4</v>
      </c>
      <c r="H32">
        <v>5</v>
      </c>
      <c r="I32">
        <v>3</v>
      </c>
      <c r="J32" t="s">
        <v>83</v>
      </c>
    </row>
    <row r="33" spans="1:14" x14ac:dyDescent="0.25">
      <c r="B33" t="s">
        <v>97</v>
      </c>
      <c r="C33">
        <v>7</v>
      </c>
      <c r="D33">
        <v>9</v>
      </c>
      <c r="E33">
        <v>1</v>
      </c>
      <c r="F33">
        <v>5</v>
      </c>
      <c r="G33">
        <v>5</v>
      </c>
      <c r="H33">
        <v>5</v>
      </c>
      <c r="I33">
        <v>5</v>
      </c>
      <c r="J33" t="s">
        <v>90</v>
      </c>
    </row>
    <row r="34" spans="1:14" x14ac:dyDescent="0.25">
      <c r="B34" t="s">
        <v>86</v>
      </c>
      <c r="C34">
        <v>1</v>
      </c>
      <c r="D34">
        <v>8</v>
      </c>
      <c r="E34">
        <v>9</v>
      </c>
      <c r="F34">
        <v>7</v>
      </c>
      <c r="G34">
        <v>6</v>
      </c>
      <c r="H34">
        <v>5</v>
      </c>
      <c r="I34">
        <v>4</v>
      </c>
      <c r="J34" t="s">
        <v>102</v>
      </c>
    </row>
    <row r="35" spans="1:14" x14ac:dyDescent="0.25">
      <c r="A35" t="s">
        <v>103</v>
      </c>
      <c r="B35" t="s">
        <v>104</v>
      </c>
      <c r="C35">
        <v>4000</v>
      </c>
      <c r="D35" t="s">
        <v>105</v>
      </c>
      <c r="E35" t="s">
        <v>106</v>
      </c>
      <c r="F35" t="s">
        <v>107</v>
      </c>
      <c r="G35" t="s">
        <v>108</v>
      </c>
      <c r="H35" t="s">
        <v>109</v>
      </c>
      <c r="I35" s="2">
        <v>0</v>
      </c>
    </row>
    <row r="36" spans="1:14" x14ac:dyDescent="0.25">
      <c r="A36" t="s">
        <v>110</v>
      </c>
      <c r="B36" t="s">
        <v>104</v>
      </c>
      <c r="C36">
        <v>22000</v>
      </c>
      <c r="D36" t="s">
        <v>105</v>
      </c>
      <c r="E36" t="s">
        <v>111</v>
      </c>
      <c r="F36" t="s">
        <v>107</v>
      </c>
      <c r="G36" t="s">
        <v>112</v>
      </c>
      <c r="H36" t="s">
        <v>109</v>
      </c>
      <c r="I36" s="2">
        <v>0</v>
      </c>
    </row>
    <row r="37" spans="1:14" x14ac:dyDescent="0.25">
      <c r="A37" t="s">
        <v>113</v>
      </c>
      <c r="B37" t="s">
        <v>114</v>
      </c>
      <c r="C37" t="s">
        <v>105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  <c r="I37" t="s">
        <v>120</v>
      </c>
      <c r="J37">
        <v>0.11704826</v>
      </c>
      <c r="K37">
        <v>0.16153137000000001</v>
      </c>
      <c r="L37">
        <v>6.7396070000000002E-2</v>
      </c>
      <c r="M37">
        <v>8.9829539999999999E-2</v>
      </c>
      <c r="N37">
        <v>0.10271482</v>
      </c>
    </row>
    <row r="38" spans="1:14" x14ac:dyDescent="0.25">
      <c r="B38">
        <v>0.13157545000000001</v>
      </c>
      <c r="C38">
        <v>0.10871451</v>
      </c>
      <c r="D38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6DB7-59E7-4D38-A037-38FFD692241B}">
  <dimension ref="A1:P86"/>
  <sheetViews>
    <sheetView tabSelected="1" topLeftCell="A59" zoomScale="80" zoomScaleNormal="80" workbookViewId="0">
      <selection activeCell="K86" sqref="K86"/>
    </sheetView>
  </sheetViews>
  <sheetFormatPr defaultRowHeight="15" x14ac:dyDescent="0.25"/>
  <cols>
    <col min="1" max="1" width="45.5703125" customWidth="1"/>
    <col min="14" max="14" width="36.5703125" bestFit="1" customWidth="1"/>
    <col min="15" max="15" width="22.85546875" bestFit="1" customWidth="1"/>
    <col min="16" max="16" width="23.85546875" bestFit="1" customWidth="1"/>
  </cols>
  <sheetData>
    <row r="1" spans="1:1" ht="45" x14ac:dyDescent="0.25">
      <c r="A1" s="3" t="s">
        <v>122</v>
      </c>
    </row>
    <row r="2" spans="1:1" ht="45" x14ac:dyDescent="0.25">
      <c r="A2" s="3" t="s">
        <v>11</v>
      </c>
    </row>
    <row r="3" spans="1:1" ht="45" x14ac:dyDescent="0.25">
      <c r="A3" s="3" t="s">
        <v>123</v>
      </c>
    </row>
    <row r="4" spans="1:1" ht="45" x14ac:dyDescent="0.25">
      <c r="A4" s="3" t="s">
        <v>124</v>
      </c>
    </row>
    <row r="5" spans="1:1" ht="45" x14ac:dyDescent="0.25">
      <c r="A5" s="3" t="s">
        <v>125</v>
      </c>
    </row>
    <row r="6" spans="1:1" ht="45" x14ac:dyDescent="0.25">
      <c r="A6" s="3" t="s">
        <v>126</v>
      </c>
    </row>
    <row r="7" spans="1:1" ht="30" x14ac:dyDescent="0.25">
      <c r="A7" s="3" t="s">
        <v>127</v>
      </c>
    </row>
    <row r="8" spans="1:1" ht="30" x14ac:dyDescent="0.25">
      <c r="A8" s="3" t="s">
        <v>16</v>
      </c>
    </row>
    <row r="9" spans="1:1" ht="60" x14ac:dyDescent="0.25">
      <c r="A9" s="3" t="s">
        <v>128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23</v>
      </c>
    </row>
    <row r="14" spans="1:1" x14ac:dyDescent="0.25">
      <c r="A14" s="3" t="s">
        <v>24</v>
      </c>
    </row>
    <row r="15" spans="1:1" x14ac:dyDescent="0.25">
      <c r="A15" s="3" t="s">
        <v>25</v>
      </c>
    </row>
    <row r="16" spans="1:1" x14ac:dyDescent="0.25">
      <c r="A16" s="3" t="s">
        <v>26</v>
      </c>
    </row>
    <row r="17" spans="1:1" x14ac:dyDescent="0.25">
      <c r="A17" s="3" t="s">
        <v>27</v>
      </c>
    </row>
    <row r="18" spans="1:1" x14ac:dyDescent="0.25">
      <c r="A18" s="3" t="s">
        <v>28</v>
      </c>
    </row>
    <row r="19" spans="1:1" x14ac:dyDescent="0.25">
      <c r="A19" s="3" t="s">
        <v>29</v>
      </c>
    </row>
    <row r="20" spans="1:1" x14ac:dyDescent="0.25">
      <c r="A20" s="3" t="s">
        <v>30</v>
      </c>
    </row>
    <row r="21" spans="1:1" x14ac:dyDescent="0.25">
      <c r="A21" s="3" t="s">
        <v>31</v>
      </c>
    </row>
    <row r="22" spans="1:1" x14ac:dyDescent="0.25">
      <c r="A22" s="3" t="s">
        <v>32</v>
      </c>
    </row>
    <row r="23" spans="1:1" x14ac:dyDescent="0.25">
      <c r="A23" s="3" t="s">
        <v>33</v>
      </c>
    </row>
    <row r="24" spans="1:1" x14ac:dyDescent="0.25">
      <c r="A24" s="3" t="s">
        <v>34</v>
      </c>
    </row>
    <row r="25" spans="1:1" x14ac:dyDescent="0.25">
      <c r="A25" s="3" t="s">
        <v>35</v>
      </c>
    </row>
    <row r="26" spans="1:1" x14ac:dyDescent="0.25">
      <c r="A26" s="3" t="s">
        <v>36</v>
      </c>
    </row>
    <row r="27" spans="1:1" x14ac:dyDescent="0.25">
      <c r="A27" s="3" t="s">
        <v>37</v>
      </c>
    </row>
    <row r="28" spans="1:1" x14ac:dyDescent="0.25">
      <c r="A28" s="3" t="s">
        <v>38</v>
      </c>
    </row>
    <row r="29" spans="1:1" x14ac:dyDescent="0.25">
      <c r="A29" s="3" t="s">
        <v>39</v>
      </c>
    </row>
    <row r="30" spans="1:1" x14ac:dyDescent="0.25">
      <c r="A30" s="3" t="s">
        <v>40</v>
      </c>
    </row>
    <row r="31" spans="1:1" x14ac:dyDescent="0.25">
      <c r="A31" s="3" t="s">
        <v>41</v>
      </c>
    </row>
    <row r="32" spans="1:1" x14ac:dyDescent="0.25">
      <c r="A32" s="3" t="s">
        <v>42</v>
      </c>
    </row>
    <row r="33" spans="1:16" x14ac:dyDescent="0.25">
      <c r="A33" s="3" t="s">
        <v>43</v>
      </c>
    </row>
    <row r="34" spans="1:16" x14ac:dyDescent="0.25">
      <c r="A34" s="3" t="s">
        <v>44</v>
      </c>
    </row>
    <row r="35" spans="1:16" x14ac:dyDescent="0.25">
      <c r="A35" s="3" t="s">
        <v>45</v>
      </c>
    </row>
    <row r="36" spans="1:16" x14ac:dyDescent="0.25">
      <c r="A36" s="3" t="s">
        <v>46</v>
      </c>
    </row>
    <row r="37" spans="1:16" x14ac:dyDescent="0.25">
      <c r="A37" s="3" t="s">
        <v>47</v>
      </c>
    </row>
    <row r="38" spans="1:16" ht="30" x14ac:dyDescent="0.25">
      <c r="A38" s="3" t="s">
        <v>48</v>
      </c>
    </row>
    <row r="39" spans="1:16" ht="30" x14ac:dyDescent="0.25">
      <c r="A39" s="3" t="s">
        <v>129</v>
      </c>
    </row>
    <row r="40" spans="1:16" ht="45" x14ac:dyDescent="0.25">
      <c r="A40" s="3" t="s">
        <v>130</v>
      </c>
    </row>
    <row r="41" spans="1:16" x14ac:dyDescent="0.25">
      <c r="A41" s="3" t="s">
        <v>131</v>
      </c>
    </row>
    <row r="42" spans="1:16" x14ac:dyDescent="0.25">
      <c r="A42" s="3" t="s">
        <v>132</v>
      </c>
      <c r="N42" t="s">
        <v>52</v>
      </c>
      <c r="O42" t="s">
        <v>53</v>
      </c>
      <c r="P42" t="s">
        <v>54</v>
      </c>
    </row>
    <row r="43" spans="1:16" x14ac:dyDescent="0.25">
      <c r="A43" s="3" t="s">
        <v>133</v>
      </c>
      <c r="C43">
        <v>0</v>
      </c>
      <c r="D43">
        <v>0.65</v>
      </c>
      <c r="E43">
        <v>0</v>
      </c>
      <c r="F43">
        <v>1</v>
      </c>
      <c r="G43">
        <v>0.98</v>
      </c>
      <c r="H43">
        <v>0.86</v>
      </c>
      <c r="I43">
        <v>0</v>
      </c>
      <c r="J43">
        <v>0.8</v>
      </c>
      <c r="K43">
        <v>0.91</v>
      </c>
      <c r="N43" s="4">
        <v>1</v>
      </c>
      <c r="O43" s="5">
        <v>10</v>
      </c>
      <c r="P43" s="6">
        <v>25</v>
      </c>
    </row>
    <row r="44" spans="1:16" x14ac:dyDescent="0.25">
      <c r="A44" s="3" t="s">
        <v>134</v>
      </c>
      <c r="C44">
        <v>0</v>
      </c>
      <c r="D44">
        <v>0</v>
      </c>
      <c r="E44">
        <v>0</v>
      </c>
      <c r="F44">
        <v>1</v>
      </c>
      <c r="G44">
        <v>0.94</v>
      </c>
      <c r="H44">
        <v>0.77</v>
      </c>
      <c r="I44">
        <v>0</v>
      </c>
      <c r="J44">
        <v>0.7</v>
      </c>
      <c r="K44">
        <v>0.85</v>
      </c>
      <c r="N44">
        <f>COUNTIFS(C43:K51,"&gt;=0.50",C43:K51,"&lt;=0.60")</f>
        <v>1</v>
      </c>
      <c r="O44">
        <f>COUNTIFS(C43:K51,"&gt;0.60",C43:K51,"&lt;=0.80")</f>
        <v>10</v>
      </c>
      <c r="P44">
        <f>COUNTIFS(C43:K51,"&gt;0.80",C43:K51,"&lt;=1")</f>
        <v>25</v>
      </c>
    </row>
    <row r="45" spans="1:16" x14ac:dyDescent="0.25">
      <c r="A45" s="3" t="s">
        <v>58</v>
      </c>
      <c r="C45">
        <v>0.98</v>
      </c>
      <c r="D45">
        <v>0.99</v>
      </c>
      <c r="E45">
        <v>0</v>
      </c>
      <c r="F45">
        <v>1</v>
      </c>
      <c r="G45">
        <v>1</v>
      </c>
      <c r="H45">
        <v>1</v>
      </c>
      <c r="I45">
        <v>0.94</v>
      </c>
      <c r="J45">
        <v>1</v>
      </c>
      <c r="K45">
        <v>1</v>
      </c>
    </row>
    <row r="46" spans="1:16" x14ac:dyDescent="0.25">
      <c r="A46" s="3" t="s">
        <v>135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6" x14ac:dyDescent="0.25">
      <c r="A47" s="3" t="s">
        <v>136</v>
      </c>
      <c r="C47">
        <v>0</v>
      </c>
      <c r="D47">
        <v>0</v>
      </c>
      <c r="E47">
        <v>0</v>
      </c>
      <c r="F47">
        <v>0.97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6" x14ac:dyDescent="0.25">
      <c r="A48" s="3" t="s">
        <v>137</v>
      </c>
      <c r="C48">
        <v>0</v>
      </c>
      <c r="D48">
        <v>0</v>
      </c>
      <c r="E48">
        <v>0</v>
      </c>
      <c r="F48">
        <v>1</v>
      </c>
      <c r="G48">
        <v>0.77</v>
      </c>
      <c r="H48">
        <v>0</v>
      </c>
      <c r="I48">
        <v>0</v>
      </c>
      <c r="J48">
        <v>0</v>
      </c>
      <c r="K48" s="9">
        <v>0.6</v>
      </c>
    </row>
    <row r="49" spans="1:12" x14ac:dyDescent="0.25">
      <c r="A49" s="3" t="s">
        <v>138</v>
      </c>
      <c r="C49">
        <v>0.7</v>
      </c>
      <c r="D49">
        <v>0.8</v>
      </c>
      <c r="E49">
        <v>0</v>
      </c>
      <c r="F49">
        <v>1</v>
      </c>
      <c r="G49">
        <v>0.99</v>
      </c>
      <c r="H49">
        <v>0.93</v>
      </c>
      <c r="I49">
        <v>0</v>
      </c>
      <c r="J49">
        <v>0.9</v>
      </c>
      <c r="K49">
        <v>0.97</v>
      </c>
    </row>
    <row r="50" spans="1:12" x14ac:dyDescent="0.25">
      <c r="A50" s="3" t="s">
        <v>139</v>
      </c>
      <c r="C50">
        <v>0</v>
      </c>
      <c r="D50">
        <v>0</v>
      </c>
      <c r="E50">
        <v>0</v>
      </c>
      <c r="F50">
        <v>1</v>
      </c>
      <c r="G50">
        <v>0.82</v>
      </c>
      <c r="H50">
        <v>0.61</v>
      </c>
      <c r="I50">
        <v>0</v>
      </c>
      <c r="J50">
        <v>0</v>
      </c>
      <c r="K50">
        <v>0.68</v>
      </c>
    </row>
    <row r="51" spans="1:12" ht="45" x14ac:dyDescent="0.25">
      <c r="A51" s="3" t="s">
        <v>140</v>
      </c>
      <c r="C51">
        <v>0</v>
      </c>
      <c r="D51">
        <v>0</v>
      </c>
      <c r="E51">
        <v>0</v>
      </c>
      <c r="F51">
        <v>1</v>
      </c>
      <c r="G51">
        <v>0.7</v>
      </c>
      <c r="H51">
        <v>0</v>
      </c>
      <c r="I51">
        <v>0</v>
      </c>
      <c r="J51">
        <v>0</v>
      </c>
      <c r="K51">
        <v>0</v>
      </c>
    </row>
    <row r="55" spans="1:12" x14ac:dyDescent="0.25">
      <c r="C55" s="7" t="s">
        <v>141</v>
      </c>
      <c r="D55" s="7" t="s">
        <v>142</v>
      </c>
      <c r="E55" s="7" t="s">
        <v>143</v>
      </c>
      <c r="F55" s="7" t="s">
        <v>144</v>
      </c>
      <c r="G55" s="7" t="s">
        <v>145</v>
      </c>
      <c r="H55" s="7" t="s">
        <v>146</v>
      </c>
      <c r="I55" s="7" t="s">
        <v>147</v>
      </c>
      <c r="J55" s="7" t="s">
        <v>148</v>
      </c>
      <c r="K55" s="7" t="s">
        <v>149</v>
      </c>
    </row>
    <row r="56" spans="1:12" x14ac:dyDescent="0.25">
      <c r="C56" s="8">
        <v>0.12223977</v>
      </c>
      <c r="D56" s="8">
        <v>0.11579755</v>
      </c>
      <c r="E56" s="8">
        <v>0.16265529000000001</v>
      </c>
      <c r="F56" s="8">
        <v>6.7191699999999993E-2</v>
      </c>
      <c r="G56" s="8">
        <v>9.1573909999999994E-2</v>
      </c>
      <c r="H56" s="8">
        <v>0.10284783</v>
      </c>
      <c r="I56" s="8">
        <v>0.13138076000000001</v>
      </c>
      <c r="J56" s="8">
        <v>0.10721525</v>
      </c>
      <c r="K56" s="8">
        <v>9.9097939999999995E-2</v>
      </c>
    </row>
    <row r="57" spans="1:12" x14ac:dyDescent="0.25">
      <c r="L57" s="1">
        <v>0.12223977</v>
      </c>
    </row>
    <row r="58" spans="1:12" x14ac:dyDescent="0.25">
      <c r="L58" s="1">
        <v>0.11579755</v>
      </c>
    </row>
    <row r="59" spans="1:12" x14ac:dyDescent="0.25">
      <c r="L59" s="1">
        <v>0.16265529000000001</v>
      </c>
    </row>
    <row r="60" spans="1:12" ht="36.75" customHeight="1" x14ac:dyDescent="0.25">
      <c r="B60" s="3"/>
      <c r="C60">
        <v>0</v>
      </c>
      <c r="D60">
        <v>0.65</v>
      </c>
      <c r="E60">
        <v>0</v>
      </c>
      <c r="F60">
        <v>1</v>
      </c>
      <c r="G60">
        <v>0.98</v>
      </c>
      <c r="H60">
        <v>0.86</v>
      </c>
      <c r="I60">
        <v>0</v>
      </c>
      <c r="J60">
        <v>0.8</v>
      </c>
      <c r="K60">
        <v>0.91</v>
      </c>
      <c r="L60" s="1">
        <v>6.7191699999999993E-2</v>
      </c>
    </row>
    <row r="61" spans="1:12" ht="31.5" customHeight="1" x14ac:dyDescent="0.25">
      <c r="B61" s="3"/>
      <c r="C61">
        <v>0</v>
      </c>
      <c r="D61">
        <v>0</v>
      </c>
      <c r="E61">
        <v>0</v>
      </c>
      <c r="F61">
        <v>1</v>
      </c>
      <c r="G61">
        <v>0.94</v>
      </c>
      <c r="H61">
        <v>0.77</v>
      </c>
      <c r="I61">
        <v>0</v>
      </c>
      <c r="J61">
        <v>0.7</v>
      </c>
      <c r="K61">
        <v>0.85</v>
      </c>
      <c r="L61" s="1">
        <v>9.1573909999999994E-2</v>
      </c>
    </row>
    <row r="62" spans="1:12" ht="27" customHeight="1" x14ac:dyDescent="0.25">
      <c r="B62" s="3"/>
      <c r="C62">
        <v>0.98</v>
      </c>
      <c r="D62">
        <v>0.99</v>
      </c>
      <c r="E62">
        <v>0</v>
      </c>
      <c r="F62">
        <v>1</v>
      </c>
      <c r="G62">
        <v>1</v>
      </c>
      <c r="H62">
        <v>1</v>
      </c>
      <c r="I62">
        <v>0.94</v>
      </c>
      <c r="J62">
        <v>1</v>
      </c>
      <c r="K62">
        <v>1</v>
      </c>
      <c r="L62" s="1">
        <v>0.10284783</v>
      </c>
    </row>
    <row r="63" spans="1:12" ht="22.5" customHeight="1" x14ac:dyDescent="0.25">
      <c r="B63" s="3"/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v>0.13138076000000001</v>
      </c>
    </row>
    <row r="64" spans="1:12" ht="26.25" customHeight="1" x14ac:dyDescent="0.25">
      <c r="B64" s="3"/>
      <c r="C64">
        <v>0</v>
      </c>
      <c r="D64">
        <v>0</v>
      </c>
      <c r="E64">
        <v>0</v>
      </c>
      <c r="F64">
        <v>0.97</v>
      </c>
      <c r="G64">
        <v>0</v>
      </c>
      <c r="H64">
        <v>0</v>
      </c>
      <c r="I64">
        <v>0</v>
      </c>
      <c r="J64">
        <v>0</v>
      </c>
      <c r="K64">
        <v>0</v>
      </c>
      <c r="L64" s="1">
        <v>0.10721525</v>
      </c>
    </row>
    <row r="65" spans="2:13" ht="27.75" customHeight="1" x14ac:dyDescent="0.25">
      <c r="B65" s="3"/>
      <c r="C65">
        <v>0</v>
      </c>
      <c r="D65">
        <v>0</v>
      </c>
      <c r="E65">
        <v>0</v>
      </c>
      <c r="F65">
        <v>1</v>
      </c>
      <c r="G65">
        <v>0.77</v>
      </c>
      <c r="H65">
        <v>0</v>
      </c>
      <c r="I65">
        <v>0</v>
      </c>
      <c r="J65">
        <v>0</v>
      </c>
      <c r="K65">
        <v>0.6</v>
      </c>
      <c r="L65" s="1">
        <v>9.9097939999999995E-2</v>
      </c>
    </row>
    <row r="66" spans="2:13" ht="22.5" customHeight="1" x14ac:dyDescent="0.25">
      <c r="B66" s="3"/>
      <c r="C66">
        <v>0.7</v>
      </c>
      <c r="D66">
        <v>0.8</v>
      </c>
      <c r="E66">
        <v>0</v>
      </c>
      <c r="F66">
        <v>1</v>
      </c>
      <c r="G66">
        <v>0.99</v>
      </c>
      <c r="H66">
        <v>0.93</v>
      </c>
      <c r="I66">
        <v>0</v>
      </c>
      <c r="J66">
        <v>0.9</v>
      </c>
      <c r="K66">
        <v>0.97</v>
      </c>
    </row>
    <row r="67" spans="2:13" ht="19.5" customHeight="1" x14ac:dyDescent="0.25">
      <c r="B67" s="3"/>
      <c r="C67">
        <v>0</v>
      </c>
      <c r="D67">
        <v>0</v>
      </c>
      <c r="E67">
        <v>0</v>
      </c>
      <c r="F67">
        <v>1</v>
      </c>
      <c r="G67">
        <v>0.82</v>
      </c>
      <c r="H67">
        <v>0.61</v>
      </c>
      <c r="I67">
        <v>0</v>
      </c>
      <c r="J67">
        <v>0</v>
      </c>
      <c r="K67">
        <v>0.68</v>
      </c>
    </row>
    <row r="68" spans="2:13" ht="27.75" customHeight="1" x14ac:dyDescent="0.25">
      <c r="B68" s="3"/>
      <c r="C68">
        <v>0</v>
      </c>
      <c r="D68">
        <v>0</v>
      </c>
      <c r="E68">
        <v>0</v>
      </c>
      <c r="F68">
        <v>1</v>
      </c>
      <c r="G68">
        <v>0.7</v>
      </c>
      <c r="H68">
        <v>0</v>
      </c>
      <c r="I68">
        <v>0</v>
      </c>
      <c r="J68">
        <v>0</v>
      </c>
      <c r="K68">
        <v>0</v>
      </c>
    </row>
    <row r="73" spans="2:13" x14ac:dyDescent="0.25">
      <c r="C73" s="7" t="s">
        <v>141</v>
      </c>
      <c r="D73" s="7" t="s">
        <v>142</v>
      </c>
      <c r="E73" s="7" t="s">
        <v>143</v>
      </c>
      <c r="F73" s="10" t="s">
        <v>144</v>
      </c>
      <c r="G73" s="10" t="s">
        <v>145</v>
      </c>
      <c r="H73" s="10" t="s">
        <v>146</v>
      </c>
      <c r="I73" s="7" t="s">
        <v>147</v>
      </c>
      <c r="J73" s="7" t="s">
        <v>148</v>
      </c>
      <c r="K73" s="7" t="s">
        <v>149</v>
      </c>
    </row>
    <row r="74" spans="2:13" x14ac:dyDescent="0.25">
      <c r="C74" s="8">
        <v>0.12223977</v>
      </c>
      <c r="D74" s="8">
        <v>0.11579755</v>
      </c>
      <c r="E74" s="8">
        <v>0.16265529000000001</v>
      </c>
      <c r="F74" s="11">
        <v>6.7191699999999993E-2</v>
      </c>
      <c r="G74" s="11">
        <v>9.1573909999999994E-2</v>
      </c>
      <c r="H74" s="11">
        <v>0.10284783</v>
      </c>
      <c r="I74" s="8">
        <v>0.13138076000000001</v>
      </c>
      <c r="J74" s="8">
        <v>0.10721525</v>
      </c>
      <c r="K74" s="8">
        <v>9.9097939999999995E-2</v>
      </c>
    </row>
    <row r="77" spans="2:13" x14ac:dyDescent="0.25">
      <c r="C77" s="7" t="s">
        <v>141</v>
      </c>
      <c r="D77" s="7" t="s">
        <v>142</v>
      </c>
      <c r="E77" s="7" t="s">
        <v>143</v>
      </c>
      <c r="F77" s="10" t="s">
        <v>144</v>
      </c>
      <c r="G77" s="10" t="s">
        <v>145</v>
      </c>
      <c r="H77" s="10" t="s">
        <v>146</v>
      </c>
      <c r="I77" s="7" t="s">
        <v>147</v>
      </c>
      <c r="J77" s="7" t="s">
        <v>148</v>
      </c>
      <c r="K77" s="7" t="s">
        <v>149</v>
      </c>
    </row>
    <row r="78" spans="2:13" x14ac:dyDescent="0.25">
      <c r="C78" s="8">
        <v>0.12223977</v>
      </c>
      <c r="D78" s="8">
        <v>0.11579755</v>
      </c>
      <c r="E78" s="8">
        <v>0.16265529000000001</v>
      </c>
      <c r="F78" s="11"/>
      <c r="G78" s="11"/>
      <c r="H78" s="11"/>
      <c r="I78" s="8">
        <v>0.13138076000000001</v>
      </c>
      <c r="J78" s="8">
        <v>0.10721525</v>
      </c>
      <c r="K78" s="8">
        <v>9.9097939999999995E-2</v>
      </c>
      <c r="M78" s="1">
        <f>SUM(C78:L78)</f>
        <v>0.73838655999999991</v>
      </c>
    </row>
    <row r="80" spans="2:13" x14ac:dyDescent="0.25">
      <c r="C80">
        <f>C78/$M$78</f>
        <v>0.16554983070114387</v>
      </c>
      <c r="D80">
        <f t="shared" ref="D80:K80" si="0">D78/$M$78</f>
        <v>0.15682510526735483</v>
      </c>
      <c r="E80">
        <f t="shared" si="0"/>
        <v>0.22028473811874369</v>
      </c>
      <c r="I80">
        <f t="shared" si="0"/>
        <v>0.17792951160974549</v>
      </c>
      <c r="J80">
        <f t="shared" si="0"/>
        <v>0.14520206055754861</v>
      </c>
      <c r="K80">
        <f t="shared" si="0"/>
        <v>0.13420875374546362</v>
      </c>
    </row>
    <row r="82" spans="3:13" x14ac:dyDescent="0.25">
      <c r="C82" s="1">
        <v>0.16554983070114387</v>
      </c>
      <c r="D82" s="1">
        <v>0.15682510526735483</v>
      </c>
      <c r="E82" s="1">
        <v>0.22028473811874369</v>
      </c>
      <c r="F82" s="1"/>
      <c r="G82" s="1"/>
      <c r="H82" s="1"/>
      <c r="I82" s="1">
        <v>0.17792951160974549</v>
      </c>
      <c r="J82" s="1">
        <v>0.14520206055754861</v>
      </c>
      <c r="K82" s="1">
        <v>0.13420875374546362</v>
      </c>
    </row>
    <row r="84" spans="3:13" x14ac:dyDescent="0.25">
      <c r="C84">
        <v>0.16550000000000001</v>
      </c>
      <c r="D84">
        <v>0.15679999999999999</v>
      </c>
      <c r="E84">
        <v>0.2203</v>
      </c>
      <c r="I84">
        <v>0.1779</v>
      </c>
      <c r="J84">
        <v>0.1452</v>
      </c>
      <c r="K84">
        <v>0.13420000000000001</v>
      </c>
      <c r="M84" s="1">
        <f>SUM(C84:L84)</f>
        <v>0.9998999999999999</v>
      </c>
    </row>
    <row r="86" spans="3:13" x14ac:dyDescent="0.25">
      <c r="C86">
        <v>0.1656</v>
      </c>
      <c r="D86">
        <v>0.15679999999999999</v>
      </c>
      <c r="E86">
        <v>0.2203</v>
      </c>
      <c r="I86">
        <v>0.1779</v>
      </c>
      <c r="J86">
        <v>0.1452</v>
      </c>
      <c r="K86">
        <v>0.13420000000000001</v>
      </c>
      <c r="M86" s="1">
        <f>SUM(C86:L86)</f>
        <v>0.99999999999999989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Φύλλο1</vt:lpstr>
      <vt:lpstr>Φύλλο2</vt:lpstr>
      <vt:lpstr>Sheet1</vt:lpstr>
      <vt:lpstr>Final_for_Paper_Chart_Numbers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Kostas</dc:creator>
  <cp:keywords/>
  <dc:description/>
  <cp:lastModifiedBy>FLORIOS KONSTANTINOS;ΦΛΩΡΙΟΣ ΚΩΝΣΤΑΝΤΙΝΟΣ</cp:lastModifiedBy>
  <cp:revision/>
  <dcterms:created xsi:type="dcterms:W3CDTF">2015-06-05T18:19:34Z</dcterms:created>
  <dcterms:modified xsi:type="dcterms:W3CDTF">2025-11-27T23:54:18Z</dcterms:modified>
  <cp:category/>
  <cp:contentStatus/>
</cp:coreProperties>
</file>