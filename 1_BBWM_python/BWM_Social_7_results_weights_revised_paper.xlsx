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Storage\Kostas\Research\Rentizelas\Case_Study_Aluminium\"/>
    </mc:Choice>
  </mc:AlternateContent>
  <xr:revisionPtr revIDLastSave="0" documentId="13_ncr:1_{0CB064B3-DD60-4C33-98D0-A00B445E28C8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Φύλλο1" sheetId="1" r:id="rId1"/>
    <sheet name="Φύλλο2" sheetId="3" r:id="rId2"/>
    <sheet name="Sheet1" sheetId="2" r:id="rId3"/>
    <sheet name="Final_for_Paper_Chart_Number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4" l="1"/>
  <c r="P33" i="4"/>
  <c r="O33" i="4"/>
  <c r="O33" i="3"/>
  <c r="N33" i="3"/>
  <c r="P33" i="3"/>
</calcChain>
</file>

<file path=xl/sharedStrings.xml><?xml version="1.0" encoding="utf-8"?>
<sst xmlns="http://schemas.openxmlformats.org/spreadsheetml/2006/main" count="181" uniqueCount="129">
  <si>
    <t>see other sheet</t>
  </si>
  <si>
    <t>S1</t>
  </si>
  <si>
    <t>S2</t>
  </si>
  <si>
    <t>S3</t>
  </si>
  <si>
    <t>S4</t>
  </si>
  <si>
    <t>S5</t>
  </si>
  <si>
    <t>S6</t>
  </si>
  <si>
    <t>S7</t>
  </si>
  <si>
    <t>(pyjags) efsimos@DESKTOP-2VUASBO:~/pyjags/pyhags_demo2$ ls *.py</t>
  </si>
  <si>
    <t>test1_kostas.py                  test_CIRCULARITY_Orlog.py          test_ENVIRONMENTAL_Orlog.py  test_model.py</t>
  </si>
  <si>
    <t>test9_kostas.py                  test_Desalination_Ibrahim.py       test_SOCIAL_Market.py        test_modules.py</t>
  </si>
  <si>
    <t>test_CIRCULARITY_Market.py       test_ENVIRONMENTAL_Market.py       test_SOCIAL_Market_rev.py</t>
  </si>
  <si>
    <t>test_CIRCULARITY_Market_rev.py   test_ENVIRONMENTAL_Market_rev.py   test_SOCIAL_Market_rev2.py</t>
  </si>
  <si>
    <t>test_CIRCULARITY_Market_rev2.py  test_ENVIRONMENTAL_Market_rev2.py  test_SOCIAL_Orlog.py</t>
  </si>
  <si>
    <t>(pyjags) efsimos@DESKTOP-2VUASBO:~/pyjags/pyhags_demo2$ python test_SOCIAL_Market_rev2.py</t>
  </si>
  <si>
    <t>/home/efsimos/miniconda3/envs/pyjags/lib/python3.10/site-packages/arviz/plots/plot_utils.py:11: UserWarning: A NumPy version &gt;=1.23.5 and &lt;2.5.0 is required for this version of SciPy (detected version 1.23.4)</t>
  </si>
  <si>
    <t xml:space="preserve">  from scipy.stats import mode, rankdata</t>
  </si>
  <si>
    <t>[[1. 2. 3. 2. 1. 9. 6.]</t>
  </si>
  <si>
    <t xml:space="preserve"> [7. 2. 4. 1. 3. 6. 5.]</t>
  </si>
  <si>
    <t xml:space="preserve"> [3. 2. 2. 1. 2. 2. 2.]</t>
  </si>
  <si>
    <t xml:space="preserve"> [3. 4. 3. 4. 5. 9. 1.]</t>
  </si>
  <si>
    <t xml:space="preserve"> [5. 3. 4. 1. 2. 9. 6.]</t>
  </si>
  <si>
    <t xml:space="preserve"> [3. 1. 2. 4. 4. 7. 6.]</t>
  </si>
  <si>
    <t xml:space="preserve"> [4. 2. 3. 1. 2. 4. 5.]</t>
  </si>
  <si>
    <t xml:space="preserve"> [1. 1. 1. 1. 1. 5. 1.]</t>
  </si>
  <si>
    <t xml:space="preserve"> [6. 1. 3. 4. 2. 5. 9.]]</t>
  </si>
  <si>
    <t>[[7. 6. 6. 6. 6. 1. 4.]</t>
  </si>
  <si>
    <t xml:space="preserve"> [1. 6. 4. 7. 5. 2. 3.]</t>
  </si>
  <si>
    <t xml:space="preserve"> [1. 2. 2. 3. 2. 2. 2.]</t>
  </si>
  <si>
    <t xml:space="preserve"> [3. 2. 4. 3. 4. 1. 4.]</t>
  </si>
  <si>
    <t xml:space="preserve"> [3. 6. 4. 7. 5. 1. 3.]</t>
  </si>
  <si>
    <t xml:space="preserve"> [5. 7. 6. 4. 4. 1. 2.]</t>
  </si>
  <si>
    <t xml:space="preserve"> [2. 4. 3. 5. 4. 2. 1.]</t>
  </si>
  <si>
    <t xml:space="preserve"> [3. 5. 5. 5. 5. 1. 3.]</t>
  </si>
  <si>
    <t xml:space="preserve"> [2. 7. 5. 4. 6. 3. 1.]]</t>
  </si>
  <si>
    <t>adapting: iterations 4000 of 4000, elapsed 0:00:00, remaining 0:00:00</t>
  </si>
  <si>
    <t>sampling: iterations 22000 of 22000, elapsed 0:00:00, remaining 0:00:00</t>
  </si>
  <si>
    <t>The average of the aggregated weight distribution is: [0.11794323 0.19304716 0.15889062 0.19156631 0.17556697 0.06940712</t>
  </si>
  <si>
    <t xml:space="preserve"> 0.09357858]</t>
  </si>
  <si>
    <t>Confidence Level [50, 60]</t>
  </si>
  <si>
    <t>Confidence Level (60, 80]</t>
  </si>
  <si>
    <t>Confidence Level (80, 100]</t>
  </si>
  <si>
    <t>[[0.   0.   0.   0.   0.   1.   0.88]</t>
  </si>
  <si>
    <t xml:space="preserve"> [1.   0.   0.86 0.52 0.68 1.   1.  ]</t>
  </si>
  <si>
    <t xml:space="preserve"> [0.92 0.   0.   0.   0.   1.   0.99]</t>
  </si>
  <si>
    <t xml:space="preserve"> [1.   0.   0.8  0.   0.69 1.   1.  ]</t>
  </si>
  <si>
    <t xml:space="preserve"> [0.97 0.   0.7  0.   0.   1.   1.  ]</t>
  </si>
  <si>
    <t xml:space="preserve"> [0.   0.   0.   0.   0.   0.   0.  ]</t>
  </si>
  <si>
    <t xml:space="preserve"> [0.   0.   0.   0.   0.   0.93 0.  ]]</t>
  </si>
  <si>
    <t>(pyjags)</t>
  </si>
  <si>
    <t>cflorios@LAPTOP-FSK795HM:~/pyjags/pyhags_demo2$</t>
  </si>
  <si>
    <t>ls</t>
  </si>
  <si>
    <t>*.py</t>
  </si>
  <si>
    <t>test1_kostas.py</t>
  </si>
  <si>
    <t>test_CIRCULARITY_Orlog.py</t>
  </si>
  <si>
    <t>test_ENVIRONMENTAL_Orlog.py</t>
  </si>
  <si>
    <t>test_model.py</t>
  </si>
  <si>
    <t>test9_kostas.py</t>
  </si>
  <si>
    <t>test_Desalination_Ibrahim.py</t>
  </si>
  <si>
    <t>test_SOCIAL_Market.py</t>
  </si>
  <si>
    <t>test_modules.py</t>
  </si>
  <si>
    <t>test_CIRCULARITY_Market.py</t>
  </si>
  <si>
    <t>test_ENVIRONMENTAL_Market.py</t>
  </si>
  <si>
    <t>test_SOCIAL_Market_rev.py</t>
  </si>
  <si>
    <t>test_CIRCULARITY_Market_rev.py</t>
  </si>
  <si>
    <t>test_ENVIRONMENTAL_Market_rev.py</t>
  </si>
  <si>
    <t>test_SOCIAL_Orlog.py</t>
  </si>
  <si>
    <t>python</t>
  </si>
  <si>
    <t>[[1.</t>
  </si>
  <si>
    <t>6.]</t>
  </si>
  <si>
    <t>[7.</t>
  </si>
  <si>
    <t>5.]</t>
  </si>
  <si>
    <t>[3.</t>
  </si>
  <si>
    <t>2.]</t>
  </si>
  <si>
    <t>1.]</t>
  </si>
  <si>
    <t>[5.</t>
  </si>
  <si>
    <t>[4.</t>
  </si>
  <si>
    <t>[1.</t>
  </si>
  <si>
    <t>[6.</t>
  </si>
  <si>
    <t>9.]]</t>
  </si>
  <si>
    <t>[[7.</t>
  </si>
  <si>
    <t>4.]</t>
  </si>
  <si>
    <t>3.]</t>
  </si>
  <si>
    <t>[2.</t>
  </si>
  <si>
    <t>1.]]</t>
  </si>
  <si>
    <t>adapting:</t>
  </si>
  <si>
    <t>iterations</t>
  </si>
  <si>
    <t>of</t>
  </si>
  <si>
    <t>4000,</t>
  </si>
  <si>
    <t>elapsed</t>
  </si>
  <si>
    <t>0:00:00,</t>
  </si>
  <si>
    <t>remaining</t>
  </si>
  <si>
    <t>sampling:</t>
  </si>
  <si>
    <t>22000,</t>
  </si>
  <si>
    <t>The</t>
  </si>
  <si>
    <t>average</t>
  </si>
  <si>
    <t>the</t>
  </si>
  <si>
    <t>aggregated</t>
  </si>
  <si>
    <t>weight</t>
  </si>
  <si>
    <t>distribution</t>
  </si>
  <si>
    <t>is:</t>
  </si>
  <si>
    <t>[0.11147786</t>
  </si>
  <si>
    <t>0.09637482]</t>
  </si>
  <si>
    <t>(pyjags) cflorios@LAPTOP-FSK795HM:~/pyjags/pyhags_demo2/pyhags_demo3$ ls *.py</t>
  </si>
  <si>
    <t>test1_kostas.py                  test_Desalination_Ibrahim.py       test_SOCIAL_Market_rev.py</t>
  </si>
  <si>
    <t>test9_kostas.py                  test_ENVIRONMENTAL_Market.py       test_SOCIAL_Market_rev2.py</t>
  </si>
  <si>
    <t>test_CIRCULARITY_Market.py       test_ENVIRONMENTAL_Market_rev.py   test_SOCIAL_Market_rev3.py</t>
  </si>
  <si>
    <t>test_CIRCULARITY_Market_rev.py   test_ENVIRONMENTAL_Market_rev2.py  test_SOCIAL_Orlog.py</t>
  </si>
  <si>
    <t>test_CIRCULARITY_Market_rev2.py  test_ENVIRONMENTAL_Market_rev3.py  test_model.py</t>
  </si>
  <si>
    <t>test_CIRCULARITY_Market_rev3.py  test_ENVIRONMENTAL_Orlog.py        test_modules.py</t>
  </si>
  <si>
    <t>test_CIRCULARITY_Orlog.py        test_SOCIAL_Market.py</t>
  </si>
  <si>
    <t>(pyjags) cflorios@LAPTOP-FSK795HM:~/pyjags/pyhags_demo2/pyhags_demo3$ python test_SOCIAL_Market_rev3.py</t>
  </si>
  <si>
    <t>The average of the aggregated weight distribution is: [0.11449874 0.19552865 0.16123136 0.1934073  0.17138497 0.06767237</t>
  </si>
  <si>
    <t xml:space="preserve"> 0.0962766 ]</t>
  </si>
  <si>
    <t>[[0.   0.   0.   0.   0.   0.99 0.79]</t>
  </si>
  <si>
    <t xml:space="preserve"> [1.   0.   0.83 0.52 0.75 1.   1.  ]</t>
  </si>
  <si>
    <t xml:space="preserve"> [0.95 0.   0.   0.   0.   1.   0.99]</t>
  </si>
  <si>
    <t xml:space="preserve"> [1.   0.   0.83 0.   0.74 1.   1.  ]</t>
  </si>
  <si>
    <t xml:space="preserve"> [0.99 0.   0.63 0.   0.   1.   1.  ]</t>
  </si>
  <si>
    <t xml:space="preserve"> [0.   0.   0.   0.   0.   0.95 0.  ]]</t>
  </si>
  <si>
    <t>(pyjags) cflorios@LAPTOP-FSK795HM:~/pyjags/pyhags_demo2/pyhags_demo3$ explorer.exe .</t>
  </si>
  <si>
    <t>(pyjags) cflorios@LAPTOP-FSK795HM:~/pyjags/pyhags_demo2/pyhags_demo3$</t>
  </si>
  <si>
    <t>W1</t>
  </si>
  <si>
    <t>W2</t>
  </si>
  <si>
    <t>W3</t>
  </si>
  <si>
    <t>W4</t>
  </si>
  <si>
    <t>W5</t>
  </si>
  <si>
    <t>W6</t>
  </si>
  <si>
    <t>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</si>
</sst>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Social Sustainability</a:t>
            </a:r>
            <a:r>
              <a:rPr lang="en-GB"/>
              <a:t> Weights all DMs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Φύλλο1!$M$6:$S$6</c:f>
              <c:strCache>
                <c:ptCount val="7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</c:strCache>
            </c:strRef>
          </c:cat>
          <c:val>
            <c:numRef>
              <c:f>Φύλλο1!$M$7:$S$7</c:f>
              <c:numCache>
                <c:formatCode>0.0000</c:formatCode>
                <c:ptCount val="7"/>
                <c:pt idx="0">
                  <c:v>0.11147786</c:v>
                </c:pt>
                <c:pt idx="1">
                  <c:v>0.19529837</c:v>
                </c:pt>
                <c:pt idx="2">
                  <c:v>0.16191544999999999</c:v>
                </c:pt>
                <c:pt idx="3">
                  <c:v>0.19262784999999999</c:v>
                </c:pt>
                <c:pt idx="4">
                  <c:v>0.17478356</c:v>
                </c:pt>
                <c:pt idx="5">
                  <c:v>6.7522079999999998E-2</c:v>
                </c:pt>
                <c:pt idx="6">
                  <c:v>9.637482E-2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0F-4FB2-9BB1-05D7B534B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58319"/>
        <c:axId val="206072239"/>
      </c:barChart>
      <c:catAx>
        <c:axId val="20605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72239"/>
        <c:crosses val="autoZero"/>
        <c:auto val="1"/>
        <c:lblAlgn val="ctr"/>
        <c:lblOffset val="100"/>
        <c:noMultiLvlLbl val="0"/>
      </c:catAx>
      <c:valAx>
        <c:axId val="2060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5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7</xdr:row>
      <xdr:rowOff>185737</xdr:rowOff>
    </xdr:from>
    <xdr:to>
      <xdr:col>19</xdr:col>
      <xdr:colOff>323850</xdr:colOff>
      <xdr:row>22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92D026-EDEE-453B-A278-71A6C8C11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8</xdr:row>
      <xdr:rowOff>0</xdr:rowOff>
    </xdr:from>
    <xdr:to>
      <xdr:col>32</xdr:col>
      <xdr:colOff>457200</xdr:colOff>
      <xdr:row>33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DE525F-B996-3107-9ECC-015D0446B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0" y="1524000"/>
          <a:ext cx="7772400" cy="4857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43</xdr:row>
      <xdr:rowOff>0</xdr:rowOff>
    </xdr:from>
    <xdr:to>
      <xdr:col>19</xdr:col>
      <xdr:colOff>390525</xdr:colOff>
      <xdr:row>83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6FDBBC-6D8C-ECEB-4164-5625282E5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3675" y="8572500"/>
          <a:ext cx="7772400" cy="777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opLeftCell="N5" workbookViewId="0">
      <selection activeCell="AH27" sqref="AH27"/>
    </sheetView>
  </sheetViews>
  <sheetFormatPr defaultRowHeight="15" x14ac:dyDescent="0.25"/>
  <sheetData>
    <row r="1" spans="1:21" x14ac:dyDescent="0.25">
      <c r="A1" t="s">
        <v>0</v>
      </c>
    </row>
    <row r="2" spans="1:21" x14ac:dyDescent="0.25">
      <c r="M2" s="1">
        <v>0.12227963</v>
      </c>
      <c r="N2" s="1">
        <v>0.18054633</v>
      </c>
      <c r="O2" s="1">
        <v>0.15640631999999999</v>
      </c>
      <c r="P2" s="1">
        <v>0.17459119000000001</v>
      </c>
      <c r="Q2" s="1">
        <v>0.17895954</v>
      </c>
      <c r="R2" s="1">
        <v>7.7734769999999995E-2</v>
      </c>
      <c r="S2" s="1">
        <v>0.10948222000000001</v>
      </c>
    </row>
    <row r="6" spans="1:21" x14ac:dyDescent="0.25">
      <c r="M6" t="s">
        <v>1</v>
      </c>
      <c r="N6" t="s">
        <v>2</v>
      </c>
      <c r="O6" t="s">
        <v>3</v>
      </c>
      <c r="P6" t="s">
        <v>4</v>
      </c>
      <c r="Q6" t="s">
        <v>5</v>
      </c>
      <c r="R6" t="s">
        <v>6</v>
      </c>
      <c r="S6" t="s">
        <v>7</v>
      </c>
    </row>
    <row r="7" spans="1:21" x14ac:dyDescent="0.25">
      <c r="M7" s="1">
        <v>0.11147786</v>
      </c>
      <c r="N7" s="1">
        <v>0.19529837</v>
      </c>
      <c r="O7" s="1">
        <v>0.16191544999999999</v>
      </c>
      <c r="P7" s="1">
        <v>0.19262784999999999</v>
      </c>
      <c r="Q7" s="1">
        <v>0.17478356</v>
      </c>
      <c r="R7" s="1">
        <v>6.7522079999999998E-2</v>
      </c>
      <c r="S7" s="1">
        <v>9.637482E-2</v>
      </c>
      <c r="T7" s="1"/>
      <c r="U7" s="1"/>
    </row>
    <row r="25" spans="13:13" x14ac:dyDescent="0.25">
      <c r="M25" s="1">
        <v>0.11147786</v>
      </c>
    </row>
    <row r="26" spans="13:13" x14ac:dyDescent="0.25">
      <c r="M26" s="1">
        <v>0.19529837</v>
      </c>
    </row>
    <row r="27" spans="13:13" x14ac:dyDescent="0.25">
      <c r="M27" s="1">
        <v>0.16191544999999999</v>
      </c>
    </row>
    <row r="28" spans="13:13" x14ac:dyDescent="0.25">
      <c r="M28" s="1">
        <v>0.19262784999999999</v>
      </c>
    </row>
    <row r="29" spans="13:13" x14ac:dyDescent="0.25">
      <c r="M29" s="1">
        <v>0.17478356</v>
      </c>
    </row>
    <row r="30" spans="13:13" x14ac:dyDescent="0.25">
      <c r="M30" s="1">
        <v>6.7522079999999998E-2</v>
      </c>
    </row>
    <row r="31" spans="13:13" x14ac:dyDescent="0.25">
      <c r="M31" s="1">
        <v>9.637482E-2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34DD-4463-4D44-B3FD-BF7679212852}">
  <dimension ref="A1:P38"/>
  <sheetViews>
    <sheetView topLeftCell="A27" workbookViewId="0">
      <selection activeCell="E35" sqref="E35"/>
    </sheetView>
  </sheetViews>
  <sheetFormatPr defaultRowHeight="15" x14ac:dyDescent="0.25"/>
  <cols>
    <col min="1" max="1" width="45.5703125" customWidth="1"/>
    <col min="14" max="14" width="36.5703125" bestFit="1" customWidth="1"/>
    <col min="15" max="15" width="22.85546875" bestFit="1" customWidth="1"/>
    <col min="16" max="16" width="23.85546875" bestFit="1" customWidth="1"/>
  </cols>
  <sheetData>
    <row r="1" spans="1:1" ht="30" x14ac:dyDescent="0.25">
      <c r="A1" s="3" t="s">
        <v>8</v>
      </c>
    </row>
    <row r="2" spans="1:1" ht="45" x14ac:dyDescent="0.25">
      <c r="A2" s="3" t="s">
        <v>9</v>
      </c>
    </row>
    <row r="3" spans="1:1" ht="45" x14ac:dyDescent="0.25">
      <c r="A3" s="3" t="s">
        <v>10</v>
      </c>
    </row>
    <row r="4" spans="1:1" ht="45" x14ac:dyDescent="0.25">
      <c r="A4" s="3" t="s">
        <v>11</v>
      </c>
    </row>
    <row r="5" spans="1:1" ht="45" x14ac:dyDescent="0.25">
      <c r="A5" s="3" t="s">
        <v>12</v>
      </c>
    </row>
    <row r="6" spans="1:1" ht="45" x14ac:dyDescent="0.25">
      <c r="A6" s="3" t="s">
        <v>13</v>
      </c>
    </row>
    <row r="7" spans="1:1" ht="45" x14ac:dyDescent="0.25">
      <c r="A7" s="3" t="s">
        <v>14</v>
      </c>
    </row>
    <row r="8" spans="1:1" ht="90" x14ac:dyDescent="0.25">
      <c r="A8" s="3" t="s">
        <v>15</v>
      </c>
    </row>
    <row r="9" spans="1:1" x14ac:dyDescent="0.25">
      <c r="A9" s="3" t="s">
        <v>16</v>
      </c>
    </row>
    <row r="10" spans="1:1" x14ac:dyDescent="0.25">
      <c r="A10" s="3" t="s">
        <v>17</v>
      </c>
    </row>
    <row r="11" spans="1:1" x14ac:dyDescent="0.25">
      <c r="A11" s="3" t="s">
        <v>18</v>
      </c>
    </row>
    <row r="12" spans="1:1" x14ac:dyDescent="0.25">
      <c r="A12" s="3" t="s">
        <v>19</v>
      </c>
    </row>
    <row r="13" spans="1:1" x14ac:dyDescent="0.25">
      <c r="A13" s="3" t="s">
        <v>20</v>
      </c>
    </row>
    <row r="14" spans="1:1" x14ac:dyDescent="0.25">
      <c r="A14" s="3" t="s">
        <v>21</v>
      </c>
    </row>
    <row r="15" spans="1:1" x14ac:dyDescent="0.25">
      <c r="A15" s="3" t="s">
        <v>22</v>
      </c>
    </row>
    <row r="16" spans="1:1" x14ac:dyDescent="0.25">
      <c r="A16" s="3" t="s">
        <v>23</v>
      </c>
    </row>
    <row r="17" spans="1:16" x14ac:dyDescent="0.25">
      <c r="A17" s="3" t="s">
        <v>24</v>
      </c>
    </row>
    <row r="18" spans="1:16" x14ac:dyDescent="0.25">
      <c r="A18" s="3" t="s">
        <v>25</v>
      </c>
    </row>
    <row r="19" spans="1:16" x14ac:dyDescent="0.25">
      <c r="A19" s="3" t="s">
        <v>26</v>
      </c>
    </row>
    <row r="20" spans="1:16" x14ac:dyDescent="0.25">
      <c r="A20" s="3" t="s">
        <v>27</v>
      </c>
    </row>
    <row r="21" spans="1:16" x14ac:dyDescent="0.25">
      <c r="A21" s="3" t="s">
        <v>28</v>
      </c>
    </row>
    <row r="22" spans="1:16" x14ac:dyDescent="0.25">
      <c r="A22" s="3" t="s">
        <v>29</v>
      </c>
    </row>
    <row r="23" spans="1:16" x14ac:dyDescent="0.25">
      <c r="A23" s="3" t="s">
        <v>30</v>
      </c>
    </row>
    <row r="24" spans="1:16" x14ac:dyDescent="0.25">
      <c r="A24" s="3" t="s">
        <v>31</v>
      </c>
    </row>
    <row r="25" spans="1:16" x14ac:dyDescent="0.25">
      <c r="A25" s="3" t="s">
        <v>32</v>
      </c>
    </row>
    <row r="26" spans="1:16" x14ac:dyDescent="0.25">
      <c r="A26" s="3" t="s">
        <v>33</v>
      </c>
    </row>
    <row r="27" spans="1:16" x14ac:dyDescent="0.25">
      <c r="A27" s="3" t="s">
        <v>34</v>
      </c>
    </row>
    <row r="28" spans="1:16" ht="30" x14ac:dyDescent="0.25">
      <c r="A28" s="3" t="s">
        <v>35</v>
      </c>
    </row>
    <row r="29" spans="1:16" ht="30" x14ac:dyDescent="0.25">
      <c r="A29" s="3" t="s">
        <v>36</v>
      </c>
    </row>
    <row r="30" spans="1:16" ht="45" x14ac:dyDescent="0.25">
      <c r="A30" s="3" t="s">
        <v>37</v>
      </c>
    </row>
    <row r="31" spans="1:16" x14ac:dyDescent="0.25">
      <c r="A31" s="3" t="s">
        <v>38</v>
      </c>
      <c r="N31" t="s">
        <v>39</v>
      </c>
      <c r="O31" t="s">
        <v>40</v>
      </c>
      <c r="P31" t="s">
        <v>41</v>
      </c>
    </row>
    <row r="32" spans="1:16" x14ac:dyDescent="0.25">
      <c r="A32" s="3" t="s">
        <v>42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0.88</v>
      </c>
      <c r="N32" s="4">
        <v>1</v>
      </c>
      <c r="O32" s="5">
        <v>4</v>
      </c>
      <c r="P32" s="6">
        <v>16</v>
      </c>
    </row>
    <row r="33" spans="1:16" x14ac:dyDescent="0.25">
      <c r="A33" s="3" t="s">
        <v>43</v>
      </c>
      <c r="C33">
        <v>1</v>
      </c>
      <c r="D33">
        <v>0</v>
      </c>
      <c r="E33">
        <v>0.86</v>
      </c>
      <c r="F33" s="7">
        <v>0.52</v>
      </c>
      <c r="G33" s="5">
        <v>0.68</v>
      </c>
      <c r="H33">
        <v>1</v>
      </c>
      <c r="I33">
        <v>1</v>
      </c>
      <c r="N33">
        <f>COUNTIFS(C32:I38,"&gt;0,50",C32:I38,"&lt;0,60")</f>
        <v>1</v>
      </c>
      <c r="O33">
        <f>COUNTIFS(C32:I38,"&gt;0,60",C32:I38,"&lt;=0,80")</f>
        <v>4</v>
      </c>
      <c r="P33">
        <f>COUNTIFS(C32:K40,"&gt;0,80",C32:K40,"&lt;=1")</f>
        <v>16</v>
      </c>
    </row>
    <row r="34" spans="1:16" x14ac:dyDescent="0.25">
      <c r="A34" s="3" t="s">
        <v>44</v>
      </c>
      <c r="C34">
        <v>0.92</v>
      </c>
      <c r="D34">
        <v>0</v>
      </c>
      <c r="E34">
        <v>0</v>
      </c>
      <c r="F34">
        <v>0</v>
      </c>
      <c r="G34">
        <v>0</v>
      </c>
      <c r="H34">
        <v>1</v>
      </c>
      <c r="I34">
        <v>0.99</v>
      </c>
    </row>
    <row r="35" spans="1:16" x14ac:dyDescent="0.25">
      <c r="A35" s="3" t="s">
        <v>45</v>
      </c>
      <c r="C35">
        <v>1</v>
      </c>
      <c r="D35">
        <v>0</v>
      </c>
      <c r="E35" s="5">
        <v>0.8</v>
      </c>
      <c r="F35">
        <v>0</v>
      </c>
      <c r="G35" s="5">
        <v>0.69</v>
      </c>
      <c r="H35">
        <v>1</v>
      </c>
      <c r="I35">
        <v>1</v>
      </c>
    </row>
    <row r="36" spans="1:16" x14ac:dyDescent="0.25">
      <c r="A36" s="3" t="s">
        <v>46</v>
      </c>
      <c r="C36">
        <v>0.97</v>
      </c>
      <c r="D36">
        <v>0</v>
      </c>
      <c r="E36" s="5">
        <v>0.7</v>
      </c>
      <c r="F36">
        <v>0</v>
      </c>
      <c r="G36">
        <v>0</v>
      </c>
      <c r="H36">
        <v>1</v>
      </c>
      <c r="I36">
        <v>1</v>
      </c>
    </row>
    <row r="37" spans="1:16" x14ac:dyDescent="0.25">
      <c r="A37" s="3" t="s">
        <v>47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16" x14ac:dyDescent="0.25">
      <c r="A38" s="3" t="s">
        <v>48</v>
      </c>
      <c r="C38">
        <v>0</v>
      </c>
      <c r="D38">
        <v>0</v>
      </c>
      <c r="E38">
        <v>0</v>
      </c>
      <c r="F38">
        <v>0</v>
      </c>
      <c r="G38">
        <v>0</v>
      </c>
      <c r="H38">
        <v>0.93</v>
      </c>
      <c r="I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C5FF-BD63-45CA-B3CE-5279B960F1BE}">
  <dimension ref="A1:N28"/>
  <sheetViews>
    <sheetView workbookViewId="0">
      <selection activeCell="B29" sqref="B29"/>
    </sheetView>
  </sheetViews>
  <sheetFormatPr defaultRowHeight="15" x14ac:dyDescent="0.25"/>
  <sheetData>
    <row r="1" spans="1:8" x14ac:dyDescent="0.25">
      <c r="A1" t="s">
        <v>49</v>
      </c>
      <c r="B1" t="s">
        <v>50</v>
      </c>
      <c r="C1" t="s">
        <v>51</v>
      </c>
      <c r="D1" t="s">
        <v>52</v>
      </c>
    </row>
    <row r="2" spans="1:8" x14ac:dyDescent="0.25">
      <c r="A2" t="s">
        <v>53</v>
      </c>
      <c r="B2" t="s">
        <v>54</v>
      </c>
      <c r="C2" t="s">
        <v>55</v>
      </c>
      <c r="D2" t="s">
        <v>56</v>
      </c>
    </row>
    <row r="3" spans="1:8" x14ac:dyDescent="0.25">
      <c r="A3" t="s">
        <v>57</v>
      </c>
      <c r="B3" t="s">
        <v>58</v>
      </c>
      <c r="C3" t="s">
        <v>59</v>
      </c>
      <c r="D3" t="s">
        <v>60</v>
      </c>
    </row>
    <row r="4" spans="1:8" x14ac:dyDescent="0.25">
      <c r="A4" t="s">
        <v>61</v>
      </c>
      <c r="B4" t="s">
        <v>62</v>
      </c>
      <c r="C4" t="s">
        <v>63</v>
      </c>
    </row>
    <row r="5" spans="1:8" x14ac:dyDescent="0.25">
      <c r="A5" t="s">
        <v>64</v>
      </c>
      <c r="B5" t="s">
        <v>65</v>
      </c>
      <c r="C5" t="s">
        <v>66</v>
      </c>
    </row>
    <row r="6" spans="1:8" x14ac:dyDescent="0.25">
      <c r="A6" t="s">
        <v>49</v>
      </c>
      <c r="B6" t="s">
        <v>50</v>
      </c>
      <c r="C6" t="s">
        <v>67</v>
      </c>
      <c r="D6" t="s">
        <v>63</v>
      </c>
    </row>
    <row r="7" spans="1:8" x14ac:dyDescent="0.25">
      <c r="A7" t="s">
        <v>68</v>
      </c>
      <c r="B7">
        <v>2</v>
      </c>
      <c r="C7">
        <v>3</v>
      </c>
      <c r="D7">
        <v>2</v>
      </c>
      <c r="E7">
        <v>1</v>
      </c>
      <c r="F7">
        <v>9</v>
      </c>
      <c r="G7" t="s">
        <v>69</v>
      </c>
    </row>
    <row r="8" spans="1:8" x14ac:dyDescent="0.25">
      <c r="B8" t="s">
        <v>70</v>
      </c>
      <c r="C8">
        <v>2</v>
      </c>
      <c r="D8">
        <v>4</v>
      </c>
      <c r="E8">
        <v>1</v>
      </c>
      <c r="F8">
        <v>3</v>
      </c>
      <c r="G8">
        <v>6</v>
      </c>
      <c r="H8" t="s">
        <v>71</v>
      </c>
    </row>
    <row r="9" spans="1:8" x14ac:dyDescent="0.25">
      <c r="B9" t="s">
        <v>72</v>
      </c>
      <c r="C9">
        <v>2</v>
      </c>
      <c r="D9">
        <v>2</v>
      </c>
      <c r="E9">
        <v>1</v>
      </c>
      <c r="F9">
        <v>2</v>
      </c>
      <c r="G9">
        <v>2</v>
      </c>
      <c r="H9" t="s">
        <v>73</v>
      </c>
    </row>
    <row r="10" spans="1:8" x14ac:dyDescent="0.25">
      <c r="B10" t="s">
        <v>72</v>
      </c>
      <c r="C10">
        <v>4</v>
      </c>
      <c r="D10">
        <v>3</v>
      </c>
      <c r="E10">
        <v>4</v>
      </c>
      <c r="F10">
        <v>5</v>
      </c>
      <c r="G10">
        <v>9</v>
      </c>
      <c r="H10" t="s">
        <v>74</v>
      </c>
    </row>
    <row r="11" spans="1:8" x14ac:dyDescent="0.25">
      <c r="B11" t="s">
        <v>75</v>
      </c>
      <c r="C11">
        <v>3</v>
      </c>
      <c r="D11">
        <v>4</v>
      </c>
      <c r="E11">
        <v>1</v>
      </c>
      <c r="F11">
        <v>2</v>
      </c>
      <c r="G11">
        <v>9</v>
      </c>
      <c r="H11" t="s">
        <v>69</v>
      </c>
    </row>
    <row r="12" spans="1:8" x14ac:dyDescent="0.25">
      <c r="B12" t="s">
        <v>72</v>
      </c>
      <c r="C12">
        <v>1</v>
      </c>
      <c r="D12">
        <v>2</v>
      </c>
      <c r="E12">
        <v>4</v>
      </c>
      <c r="F12">
        <v>4</v>
      </c>
      <c r="G12">
        <v>7</v>
      </c>
      <c r="H12" t="s">
        <v>69</v>
      </c>
    </row>
    <row r="13" spans="1:8" x14ac:dyDescent="0.25">
      <c r="B13" t="s">
        <v>76</v>
      </c>
      <c r="C13">
        <v>2</v>
      </c>
      <c r="D13">
        <v>3</v>
      </c>
      <c r="E13">
        <v>1</v>
      </c>
      <c r="F13">
        <v>2</v>
      </c>
      <c r="G13">
        <v>4</v>
      </c>
      <c r="H13" t="s">
        <v>71</v>
      </c>
    </row>
    <row r="14" spans="1:8" x14ac:dyDescent="0.25">
      <c r="B14" t="s">
        <v>77</v>
      </c>
      <c r="C14">
        <v>1</v>
      </c>
      <c r="D14">
        <v>1</v>
      </c>
      <c r="E14">
        <v>1</v>
      </c>
      <c r="F14">
        <v>1</v>
      </c>
      <c r="G14">
        <v>5</v>
      </c>
      <c r="H14" t="s">
        <v>74</v>
      </c>
    </row>
    <row r="15" spans="1:8" x14ac:dyDescent="0.25">
      <c r="B15" t="s">
        <v>78</v>
      </c>
      <c r="C15">
        <v>1</v>
      </c>
      <c r="D15">
        <v>3</v>
      </c>
      <c r="E15">
        <v>4</v>
      </c>
      <c r="F15">
        <v>2</v>
      </c>
      <c r="G15">
        <v>5</v>
      </c>
      <c r="H15" t="s">
        <v>79</v>
      </c>
    </row>
    <row r="16" spans="1:8" x14ac:dyDescent="0.25">
      <c r="A16" t="s">
        <v>80</v>
      </c>
      <c r="B16">
        <v>6</v>
      </c>
      <c r="C16">
        <v>6</v>
      </c>
      <c r="D16">
        <v>6</v>
      </c>
      <c r="E16">
        <v>6</v>
      </c>
      <c r="F16">
        <v>1</v>
      </c>
      <c r="G16" t="s">
        <v>81</v>
      </c>
    </row>
    <row r="17" spans="1:14" x14ac:dyDescent="0.25">
      <c r="B17" t="s">
        <v>77</v>
      </c>
      <c r="C17">
        <v>6</v>
      </c>
      <c r="D17">
        <v>4</v>
      </c>
      <c r="E17">
        <v>7</v>
      </c>
      <c r="F17">
        <v>5</v>
      </c>
      <c r="G17">
        <v>2</v>
      </c>
      <c r="H17" t="s">
        <v>82</v>
      </c>
    </row>
    <row r="18" spans="1:14" x14ac:dyDescent="0.25">
      <c r="B18" t="s">
        <v>77</v>
      </c>
      <c r="C18">
        <v>2</v>
      </c>
      <c r="D18">
        <v>2</v>
      </c>
      <c r="E18">
        <v>3</v>
      </c>
      <c r="F18">
        <v>2</v>
      </c>
      <c r="G18">
        <v>2</v>
      </c>
      <c r="H18" t="s">
        <v>73</v>
      </c>
    </row>
    <row r="19" spans="1:14" x14ac:dyDescent="0.25">
      <c r="B19" t="s">
        <v>72</v>
      </c>
      <c r="C19">
        <v>2</v>
      </c>
      <c r="D19">
        <v>4</v>
      </c>
      <c r="E19">
        <v>3</v>
      </c>
      <c r="F19">
        <v>4</v>
      </c>
      <c r="G19">
        <v>1</v>
      </c>
      <c r="H19" t="s">
        <v>81</v>
      </c>
    </row>
    <row r="20" spans="1:14" x14ac:dyDescent="0.25">
      <c r="B20" t="s">
        <v>72</v>
      </c>
      <c r="C20">
        <v>6</v>
      </c>
      <c r="D20">
        <v>4</v>
      </c>
      <c r="E20">
        <v>7</v>
      </c>
      <c r="F20">
        <v>5</v>
      </c>
      <c r="G20">
        <v>1</v>
      </c>
      <c r="H20" t="s">
        <v>82</v>
      </c>
    </row>
    <row r="21" spans="1:14" x14ac:dyDescent="0.25">
      <c r="B21" t="s">
        <v>75</v>
      </c>
      <c r="C21">
        <v>7</v>
      </c>
      <c r="D21">
        <v>6</v>
      </c>
      <c r="E21">
        <v>4</v>
      </c>
      <c r="F21">
        <v>4</v>
      </c>
      <c r="G21">
        <v>1</v>
      </c>
      <c r="H21" t="s">
        <v>73</v>
      </c>
    </row>
    <row r="22" spans="1:14" x14ac:dyDescent="0.25">
      <c r="B22" t="s">
        <v>83</v>
      </c>
      <c r="C22">
        <v>4</v>
      </c>
      <c r="D22">
        <v>3</v>
      </c>
      <c r="E22">
        <v>5</v>
      </c>
      <c r="F22">
        <v>4</v>
      </c>
      <c r="G22">
        <v>2</v>
      </c>
      <c r="H22" t="s">
        <v>74</v>
      </c>
    </row>
    <row r="23" spans="1:14" x14ac:dyDescent="0.25">
      <c r="B23" t="s">
        <v>72</v>
      </c>
      <c r="C23">
        <v>5</v>
      </c>
      <c r="D23">
        <v>5</v>
      </c>
      <c r="E23">
        <v>5</v>
      </c>
      <c r="F23">
        <v>5</v>
      </c>
      <c r="G23">
        <v>1</v>
      </c>
      <c r="H23" t="s">
        <v>82</v>
      </c>
    </row>
    <row r="24" spans="1:14" x14ac:dyDescent="0.25">
      <c r="B24" t="s">
        <v>83</v>
      </c>
      <c r="C24">
        <v>7</v>
      </c>
      <c r="D24">
        <v>5</v>
      </c>
      <c r="E24">
        <v>4</v>
      </c>
      <c r="F24">
        <v>6</v>
      </c>
      <c r="G24">
        <v>3</v>
      </c>
      <c r="H24" t="s">
        <v>84</v>
      </c>
    </row>
    <row r="25" spans="1:14" x14ac:dyDescent="0.25">
      <c r="A25" t="s">
        <v>85</v>
      </c>
      <c r="B25" t="s">
        <v>86</v>
      </c>
      <c r="C25">
        <v>4000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s="2">
        <v>0</v>
      </c>
    </row>
    <row r="26" spans="1:14" x14ac:dyDescent="0.25">
      <c r="A26" t="s">
        <v>92</v>
      </c>
      <c r="B26" t="s">
        <v>86</v>
      </c>
      <c r="C26">
        <v>22000</v>
      </c>
      <c r="D26" t="s">
        <v>87</v>
      </c>
      <c r="E26" t="s">
        <v>93</v>
      </c>
      <c r="F26" t="s">
        <v>89</v>
      </c>
      <c r="G26" t="s">
        <v>90</v>
      </c>
      <c r="H26" t="s">
        <v>91</v>
      </c>
      <c r="I26" s="2">
        <v>0</v>
      </c>
    </row>
    <row r="27" spans="1:14" x14ac:dyDescent="0.25">
      <c r="A27" t="s">
        <v>94</v>
      </c>
      <c r="B27" t="s">
        <v>95</v>
      </c>
      <c r="C27" t="s">
        <v>87</v>
      </c>
      <c r="D27" t="s">
        <v>96</v>
      </c>
      <c r="E27" t="s">
        <v>97</v>
      </c>
      <c r="F27" t="s">
        <v>98</v>
      </c>
      <c r="G27" t="s">
        <v>99</v>
      </c>
      <c r="H27" t="s">
        <v>100</v>
      </c>
      <c r="I27" t="s">
        <v>101</v>
      </c>
      <c r="J27">
        <v>0.19529837</v>
      </c>
      <c r="K27">
        <v>0.16191544999999999</v>
      </c>
      <c r="L27">
        <v>0.19262784999999999</v>
      </c>
      <c r="M27">
        <v>0.17478356</v>
      </c>
      <c r="N27">
        <v>6.7522079999999998E-2</v>
      </c>
    </row>
    <row r="28" spans="1:14" x14ac:dyDescent="0.25">
      <c r="B28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2D6C-4CEE-48D0-8D5E-9D749431EC5F}">
  <dimension ref="A1:P55"/>
  <sheetViews>
    <sheetView tabSelected="1" topLeftCell="A23" zoomScale="80" zoomScaleNormal="80" workbookViewId="0">
      <selection activeCell="L45" sqref="L45"/>
    </sheetView>
  </sheetViews>
  <sheetFormatPr defaultRowHeight="15" x14ac:dyDescent="0.25"/>
  <cols>
    <col min="1" max="1" width="45.5703125" customWidth="1"/>
    <col min="14" max="14" width="36.5703125" bestFit="1" customWidth="1"/>
    <col min="15" max="15" width="22.85546875" bestFit="1" customWidth="1"/>
    <col min="16" max="16" width="23.85546875" bestFit="1" customWidth="1"/>
  </cols>
  <sheetData>
    <row r="1" spans="1:1" ht="45" x14ac:dyDescent="0.25">
      <c r="A1" s="3" t="s">
        <v>103</v>
      </c>
    </row>
    <row r="2" spans="1:1" ht="45" x14ac:dyDescent="0.25">
      <c r="A2" s="3" t="s">
        <v>104</v>
      </c>
    </row>
    <row r="3" spans="1:1" ht="45" x14ac:dyDescent="0.25">
      <c r="A3" s="3" t="s">
        <v>105</v>
      </c>
    </row>
    <row r="4" spans="1:1" ht="45" x14ac:dyDescent="0.25">
      <c r="A4" s="3" t="s">
        <v>106</v>
      </c>
    </row>
    <row r="5" spans="1:1" ht="45" x14ac:dyDescent="0.25">
      <c r="A5" s="3" t="s">
        <v>107</v>
      </c>
    </row>
    <row r="6" spans="1:1" ht="45" x14ac:dyDescent="0.25">
      <c r="A6" s="3" t="s">
        <v>108</v>
      </c>
    </row>
    <row r="7" spans="1:1" ht="45" x14ac:dyDescent="0.25">
      <c r="A7" s="3" t="s">
        <v>109</v>
      </c>
    </row>
    <row r="8" spans="1:1" ht="30" x14ac:dyDescent="0.25">
      <c r="A8" s="3" t="s">
        <v>110</v>
      </c>
    </row>
    <row r="9" spans="1:1" ht="45" x14ac:dyDescent="0.25">
      <c r="A9" s="3" t="s">
        <v>111</v>
      </c>
    </row>
    <row r="10" spans="1:1" x14ac:dyDescent="0.25">
      <c r="A10" s="3" t="s">
        <v>17</v>
      </c>
    </row>
    <row r="11" spans="1:1" x14ac:dyDescent="0.25">
      <c r="A11" s="3" t="s">
        <v>18</v>
      </c>
    </row>
    <row r="12" spans="1:1" x14ac:dyDescent="0.25">
      <c r="A12" s="3" t="s">
        <v>19</v>
      </c>
    </row>
    <row r="13" spans="1:1" x14ac:dyDescent="0.25">
      <c r="A13" s="3" t="s">
        <v>20</v>
      </c>
    </row>
    <row r="14" spans="1:1" x14ac:dyDescent="0.25">
      <c r="A14" s="3" t="s">
        <v>21</v>
      </c>
    </row>
    <row r="15" spans="1:1" x14ac:dyDescent="0.25">
      <c r="A15" s="3" t="s">
        <v>22</v>
      </c>
    </row>
    <row r="16" spans="1:1" x14ac:dyDescent="0.25">
      <c r="A16" s="3" t="s">
        <v>23</v>
      </c>
    </row>
    <row r="17" spans="1:16" x14ac:dyDescent="0.25">
      <c r="A17" s="3" t="s">
        <v>24</v>
      </c>
    </row>
    <row r="18" spans="1:16" x14ac:dyDescent="0.25">
      <c r="A18" s="3" t="s">
        <v>25</v>
      </c>
    </row>
    <row r="19" spans="1:16" x14ac:dyDescent="0.25">
      <c r="A19" s="3" t="s">
        <v>26</v>
      </c>
    </row>
    <row r="20" spans="1:16" x14ac:dyDescent="0.25">
      <c r="A20" s="3" t="s">
        <v>27</v>
      </c>
    </row>
    <row r="21" spans="1:16" x14ac:dyDescent="0.25">
      <c r="A21" s="3" t="s">
        <v>28</v>
      </c>
    </row>
    <row r="22" spans="1:16" x14ac:dyDescent="0.25">
      <c r="A22" s="3" t="s">
        <v>29</v>
      </c>
    </row>
    <row r="23" spans="1:16" x14ac:dyDescent="0.25">
      <c r="A23" s="3" t="s">
        <v>30</v>
      </c>
    </row>
    <row r="24" spans="1:16" x14ac:dyDescent="0.25">
      <c r="A24" s="3" t="s">
        <v>31</v>
      </c>
    </row>
    <row r="25" spans="1:16" x14ac:dyDescent="0.25">
      <c r="A25" s="3" t="s">
        <v>32</v>
      </c>
    </row>
    <row r="26" spans="1:16" x14ac:dyDescent="0.25">
      <c r="A26" s="3" t="s">
        <v>33</v>
      </c>
    </row>
    <row r="27" spans="1:16" x14ac:dyDescent="0.25">
      <c r="A27" s="3" t="s">
        <v>34</v>
      </c>
    </row>
    <row r="28" spans="1:16" ht="30" x14ac:dyDescent="0.25">
      <c r="A28" s="3" t="s">
        <v>35</v>
      </c>
    </row>
    <row r="29" spans="1:16" ht="30" x14ac:dyDescent="0.25">
      <c r="A29" s="3" t="s">
        <v>36</v>
      </c>
    </row>
    <row r="30" spans="1:16" ht="45" x14ac:dyDescent="0.25">
      <c r="A30" s="3" t="s">
        <v>112</v>
      </c>
    </row>
    <row r="31" spans="1:16" x14ac:dyDescent="0.25">
      <c r="A31" s="3" t="s">
        <v>113</v>
      </c>
      <c r="N31" t="s">
        <v>39</v>
      </c>
      <c r="O31" t="s">
        <v>40</v>
      </c>
      <c r="P31" t="s">
        <v>41</v>
      </c>
    </row>
    <row r="32" spans="1:16" x14ac:dyDescent="0.25">
      <c r="A32" s="3" t="s">
        <v>114</v>
      </c>
      <c r="C32">
        <v>0</v>
      </c>
      <c r="D32">
        <v>0</v>
      </c>
      <c r="E32">
        <v>0</v>
      </c>
      <c r="F32">
        <v>0</v>
      </c>
      <c r="G32">
        <v>0</v>
      </c>
      <c r="H32">
        <v>0.99</v>
      </c>
      <c r="I32">
        <v>0.79</v>
      </c>
      <c r="N32" s="4">
        <v>1</v>
      </c>
      <c r="O32" s="5">
        <v>4</v>
      </c>
      <c r="P32" s="6">
        <v>16</v>
      </c>
    </row>
    <row r="33" spans="1:16" x14ac:dyDescent="0.25">
      <c r="A33" s="3" t="s">
        <v>115</v>
      </c>
      <c r="C33">
        <v>1</v>
      </c>
      <c r="D33">
        <v>0</v>
      </c>
      <c r="E33">
        <v>0.83</v>
      </c>
      <c r="F33" s="7">
        <v>0.52</v>
      </c>
      <c r="G33">
        <v>0.75</v>
      </c>
      <c r="H33">
        <v>1</v>
      </c>
      <c r="I33">
        <v>1</v>
      </c>
      <c r="N33">
        <f>COUNTIFS(C32:I38,"&gt;=0.50",C32:I38,"&lt;=0.60")</f>
        <v>1</v>
      </c>
      <c r="O33">
        <f>COUNTIFS(C32:I38,"&gt;0.60",C32:I38,"&lt;=0.80")</f>
        <v>4</v>
      </c>
      <c r="P33">
        <f>COUNTIFS(C32:K40,"&gt;0.80",C32:K40,"&lt;=1")</f>
        <v>16</v>
      </c>
    </row>
    <row r="34" spans="1:16" x14ac:dyDescent="0.25">
      <c r="A34" s="3" t="s">
        <v>116</v>
      </c>
      <c r="C34">
        <v>0.95</v>
      </c>
      <c r="D34">
        <v>0</v>
      </c>
      <c r="E34">
        <v>0</v>
      </c>
      <c r="F34">
        <v>0</v>
      </c>
      <c r="G34">
        <v>0</v>
      </c>
      <c r="H34">
        <v>1</v>
      </c>
      <c r="I34">
        <v>0.99</v>
      </c>
    </row>
    <row r="35" spans="1:16" x14ac:dyDescent="0.25">
      <c r="A35" s="3" t="s">
        <v>117</v>
      </c>
      <c r="C35">
        <v>1</v>
      </c>
      <c r="D35">
        <v>0</v>
      </c>
      <c r="E35">
        <v>0.83</v>
      </c>
      <c r="F35">
        <v>0</v>
      </c>
      <c r="G35">
        <v>0.74</v>
      </c>
      <c r="H35">
        <v>1</v>
      </c>
      <c r="I35">
        <v>1</v>
      </c>
    </row>
    <row r="36" spans="1:16" x14ac:dyDescent="0.25">
      <c r="A36" s="3" t="s">
        <v>118</v>
      </c>
      <c r="C36">
        <v>0.99</v>
      </c>
      <c r="D36">
        <v>0</v>
      </c>
      <c r="E36">
        <v>0.63</v>
      </c>
      <c r="F36">
        <v>0</v>
      </c>
      <c r="G36">
        <v>0</v>
      </c>
      <c r="H36">
        <v>1</v>
      </c>
      <c r="I36">
        <v>1</v>
      </c>
    </row>
    <row r="37" spans="1:16" x14ac:dyDescent="0.25">
      <c r="A37" s="3" t="s">
        <v>47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16" x14ac:dyDescent="0.25">
      <c r="A38" s="3" t="s">
        <v>119</v>
      </c>
      <c r="C38">
        <v>0</v>
      </c>
      <c r="D38">
        <v>0</v>
      </c>
      <c r="E38">
        <v>0</v>
      </c>
      <c r="F38">
        <v>0</v>
      </c>
      <c r="G38">
        <v>0</v>
      </c>
      <c r="H38">
        <v>0.95</v>
      </c>
      <c r="I38">
        <v>0</v>
      </c>
    </row>
    <row r="39" spans="1:16" x14ac:dyDescent="0.25">
      <c r="A39" t="s">
        <v>120</v>
      </c>
    </row>
    <row r="40" spans="1:16" x14ac:dyDescent="0.25">
      <c r="A40" t="s">
        <v>121</v>
      </c>
    </row>
    <row r="44" spans="1:16" x14ac:dyDescent="0.25">
      <c r="C44" s="8" t="s">
        <v>122</v>
      </c>
      <c r="D44" s="8" t="s">
        <v>123</v>
      </c>
      <c r="E44" s="8" t="s">
        <v>124</v>
      </c>
      <c r="F44" s="8" t="s">
        <v>125</v>
      </c>
      <c r="G44" s="8" t="s">
        <v>126</v>
      </c>
      <c r="H44" s="8" t="s">
        <v>127</v>
      </c>
      <c r="I44" s="8" t="s">
        <v>128</v>
      </c>
    </row>
    <row r="45" spans="1:16" x14ac:dyDescent="0.25">
      <c r="C45" s="9">
        <v>0.11449874</v>
      </c>
      <c r="D45" s="9">
        <v>0.19552865</v>
      </c>
      <c r="E45" s="9">
        <v>0.16123135999999999</v>
      </c>
      <c r="F45" s="9">
        <v>0.1934073</v>
      </c>
      <c r="G45" s="9">
        <v>0.17138497</v>
      </c>
      <c r="H45" s="9">
        <v>6.7672369999999996E-2</v>
      </c>
      <c r="I45" s="9">
        <v>9.6276600000000004E-2</v>
      </c>
      <c r="L45" s="1"/>
    </row>
    <row r="46" spans="1:16" x14ac:dyDescent="0.25">
      <c r="J46" s="1">
        <v>0.11449874</v>
      </c>
    </row>
    <row r="47" spans="1:16" x14ac:dyDescent="0.25">
      <c r="J47" s="1">
        <v>0.19552865</v>
      </c>
    </row>
    <row r="48" spans="1:16" x14ac:dyDescent="0.25">
      <c r="J48" s="1">
        <v>0.16123135999999999</v>
      </c>
    </row>
    <row r="49" spans="3:10" x14ac:dyDescent="0.25">
      <c r="C49">
        <v>0</v>
      </c>
      <c r="D49">
        <v>0</v>
      </c>
      <c r="E49">
        <v>0</v>
      </c>
      <c r="F49">
        <v>0</v>
      </c>
      <c r="G49">
        <v>0</v>
      </c>
      <c r="H49">
        <v>0.99</v>
      </c>
      <c r="I49">
        <v>0.79</v>
      </c>
      <c r="J49" s="1">
        <v>0.1934073</v>
      </c>
    </row>
    <row r="50" spans="3:10" x14ac:dyDescent="0.25">
      <c r="C50">
        <v>1</v>
      </c>
      <c r="D50">
        <v>0</v>
      </c>
      <c r="E50">
        <v>0.83</v>
      </c>
      <c r="F50">
        <v>0.52</v>
      </c>
      <c r="G50">
        <v>0.75</v>
      </c>
      <c r="H50">
        <v>1</v>
      </c>
      <c r="I50">
        <v>1</v>
      </c>
      <c r="J50" s="1">
        <v>0.17138497</v>
      </c>
    </row>
    <row r="51" spans="3:10" x14ac:dyDescent="0.25">
      <c r="C51">
        <v>0.95</v>
      </c>
      <c r="D51">
        <v>0</v>
      </c>
      <c r="E51">
        <v>0</v>
      </c>
      <c r="F51">
        <v>0</v>
      </c>
      <c r="G51">
        <v>0</v>
      </c>
      <c r="H51">
        <v>1</v>
      </c>
      <c r="I51">
        <v>0.99</v>
      </c>
      <c r="J51" s="1">
        <v>6.7672369999999996E-2</v>
      </c>
    </row>
    <row r="52" spans="3:10" x14ac:dyDescent="0.25">
      <c r="C52">
        <v>1</v>
      </c>
      <c r="D52">
        <v>0</v>
      </c>
      <c r="E52">
        <v>0.83</v>
      </c>
      <c r="F52">
        <v>0</v>
      </c>
      <c r="G52">
        <v>0.74</v>
      </c>
      <c r="H52">
        <v>1</v>
      </c>
      <c r="I52">
        <v>1</v>
      </c>
      <c r="J52" s="1">
        <v>9.6276600000000004E-2</v>
      </c>
    </row>
    <row r="53" spans="3:10" x14ac:dyDescent="0.25">
      <c r="C53">
        <v>0.99</v>
      </c>
      <c r="D53">
        <v>0</v>
      </c>
      <c r="E53">
        <v>0.63</v>
      </c>
      <c r="F53">
        <v>0</v>
      </c>
      <c r="G53">
        <v>0</v>
      </c>
      <c r="H53">
        <v>1</v>
      </c>
      <c r="I53">
        <v>1</v>
      </c>
    </row>
    <row r="54" spans="3:10" x14ac:dyDescent="0.25"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3:10" x14ac:dyDescent="0.25">
      <c r="C55">
        <v>0</v>
      </c>
      <c r="D55">
        <v>0</v>
      </c>
      <c r="E55">
        <v>0</v>
      </c>
      <c r="F55">
        <v>0</v>
      </c>
      <c r="G55">
        <v>0</v>
      </c>
      <c r="H55">
        <v>0.95</v>
      </c>
      <c r="I5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Φύλλο1</vt:lpstr>
      <vt:lpstr>Φύλλο2</vt:lpstr>
      <vt:lpstr>Sheet1</vt:lpstr>
      <vt:lpstr>Final_for_Paper_Chart_Numbers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Kostas</dc:creator>
  <cp:keywords/>
  <dc:description/>
  <cp:lastModifiedBy>FLORIOS KONSTANTINOS;ΦΛΩΡΙΟΣ ΚΩΝΣΤΑΝΤΙΝΟΣ</cp:lastModifiedBy>
  <cp:revision/>
  <dcterms:created xsi:type="dcterms:W3CDTF">2015-06-05T18:19:34Z</dcterms:created>
  <dcterms:modified xsi:type="dcterms:W3CDTF">2025-12-04T15:29:37Z</dcterms:modified>
  <cp:category/>
  <cp:contentStatus/>
</cp:coreProperties>
</file>