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Case_Study_Aluminium\"/>
    </mc:Choice>
  </mc:AlternateContent>
  <xr:revisionPtr revIDLastSave="0" documentId="13_ncr:1_{20D6AB13-0601-4E4D-BB81-2CF5B6C9A33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2" i="1" l="1"/>
  <c r="AI24" i="1"/>
  <c r="AI25" i="1"/>
  <c r="AI23" i="1"/>
  <c r="AK23" i="1"/>
  <c r="AK24" i="1"/>
  <c r="AK25" i="1"/>
  <c r="AJ24" i="1"/>
  <c r="AJ25" i="1"/>
  <c r="AJ23" i="1"/>
  <c r="AK20" i="1"/>
  <c r="AK21" i="1"/>
  <c r="AK19" i="1"/>
  <c r="AJ20" i="1"/>
  <c r="AJ21" i="1"/>
  <c r="AJ19" i="1"/>
  <c r="AK17" i="1"/>
  <c r="AJ17" i="1"/>
  <c r="AK16" i="1"/>
  <c r="AJ16" i="1"/>
  <c r="AJ12" i="1"/>
  <c r="AJ13" i="1"/>
  <c r="AJ11" i="1"/>
  <c r="AD23" i="1"/>
  <c r="AE23" i="1"/>
  <c r="AF23" i="1"/>
  <c r="AD24" i="1"/>
  <c r="AE24" i="1"/>
  <c r="AF24" i="1"/>
  <c r="AD25" i="1"/>
  <c r="AE25" i="1"/>
  <c r="AF25" i="1"/>
  <c r="AH15" i="1"/>
  <c r="AH16" i="1"/>
  <c r="AH17" i="1"/>
  <c r="AG16" i="1"/>
  <c r="AG17" i="1"/>
  <c r="AG15" i="1"/>
  <c r="AF16" i="1"/>
  <c r="AF17" i="1"/>
  <c r="AF15" i="1"/>
  <c r="AE16" i="1"/>
  <c r="AE17" i="1"/>
  <c r="AE15" i="1"/>
  <c r="AD16" i="1"/>
  <c r="AD17" i="1"/>
  <c r="AD15" i="1"/>
  <c r="AB16" i="1"/>
  <c r="AB17" i="1"/>
  <c r="AB15" i="1"/>
  <c r="AC11" i="1"/>
  <c r="AC16" i="1" s="1"/>
  <c r="AC24" i="1" s="1"/>
  <c r="AA24" i="1" s="1"/>
  <c r="AD11" i="1"/>
  <c r="AE11" i="1"/>
  <c r="AF11" i="1"/>
  <c r="AG11" i="1"/>
  <c r="AH11" i="1"/>
  <c r="AB11" i="1"/>
  <c r="AC10" i="1"/>
  <c r="AD10" i="1"/>
  <c r="AE10" i="1"/>
  <c r="AF10" i="1"/>
  <c r="AG10" i="1"/>
  <c r="AH10" i="1"/>
  <c r="AB10" i="1"/>
  <c r="W11" i="1"/>
  <c r="X11" i="1"/>
  <c r="Y11" i="1"/>
  <c r="Z11" i="1"/>
  <c r="V11" i="1"/>
  <c r="W10" i="1"/>
  <c r="X10" i="1"/>
  <c r="X17" i="1" s="1"/>
  <c r="X25" i="1" s="1"/>
  <c r="Y10" i="1"/>
  <c r="Z10" i="1"/>
  <c r="Z16" i="1" s="1"/>
  <c r="Z24" i="1" s="1"/>
  <c r="V10" i="1"/>
  <c r="R16" i="1"/>
  <c r="R15" i="1"/>
  <c r="T11" i="1"/>
  <c r="T12" i="1"/>
  <c r="T10" i="1"/>
  <c r="S11" i="1"/>
  <c r="S12" i="1"/>
  <c r="S10" i="1"/>
  <c r="N16" i="1"/>
  <c r="O16" i="1"/>
  <c r="L16" i="1"/>
  <c r="N15" i="1"/>
  <c r="O15" i="1"/>
  <c r="L15" i="1"/>
  <c r="M11" i="1"/>
  <c r="M12" i="1"/>
  <c r="M10" i="1"/>
  <c r="E11" i="1"/>
  <c r="F11" i="1"/>
  <c r="G11" i="1"/>
  <c r="H11" i="1"/>
  <c r="E10" i="1"/>
  <c r="F10" i="1"/>
  <c r="G10" i="1"/>
  <c r="H10" i="1"/>
  <c r="D11" i="1"/>
  <c r="D10" i="1"/>
  <c r="C6" i="1"/>
  <c r="C7" i="1"/>
  <c r="C5" i="1"/>
  <c r="AC15" i="1" l="1"/>
  <c r="AC23" i="1" s="1"/>
  <c r="AA23" i="1" s="1"/>
  <c r="AC17" i="1"/>
  <c r="AC25" i="1" s="1"/>
  <c r="AA25" i="1" s="1"/>
  <c r="Y17" i="1"/>
  <c r="Y25" i="1" s="1"/>
  <c r="V16" i="1"/>
  <c r="V24" i="1" s="1"/>
  <c r="W16" i="1"/>
  <c r="W24" i="1" s="1"/>
  <c r="Z15" i="1"/>
  <c r="Z23" i="1" s="1"/>
  <c r="W15" i="1"/>
  <c r="W23" i="1" s="1"/>
  <c r="Z17" i="1"/>
  <c r="Z25" i="1" s="1"/>
  <c r="V17" i="1"/>
  <c r="V25" i="1" s="1"/>
  <c r="Y16" i="1"/>
  <c r="Y24" i="1" s="1"/>
  <c r="X16" i="1"/>
  <c r="X24" i="1" s="1"/>
  <c r="Y15" i="1"/>
  <c r="Y23" i="1" s="1"/>
  <c r="X15" i="1"/>
  <c r="X23" i="1" s="1"/>
  <c r="V15" i="1"/>
  <c r="V23" i="1" s="1"/>
  <c r="W17" i="1"/>
  <c r="W25" i="1" s="1"/>
  <c r="R20" i="1"/>
  <c r="R24" i="1" s="1"/>
  <c r="O19" i="1"/>
  <c r="T15" i="1"/>
  <c r="S15" i="1"/>
  <c r="T16" i="1"/>
  <c r="S16" i="1"/>
  <c r="R19" i="1"/>
  <c r="R23" i="1" s="1"/>
  <c r="R21" i="1"/>
  <c r="R25" i="1" s="1"/>
  <c r="L19" i="1"/>
  <c r="E14" i="1"/>
  <c r="E18" i="1" s="1"/>
  <c r="N18" i="1"/>
  <c r="N23" i="1" s="1"/>
  <c r="D13" i="1"/>
  <c r="D17" i="1" s="1"/>
  <c r="G15" i="1"/>
  <c r="G19" i="1" s="1"/>
  <c r="L20" i="1"/>
  <c r="D14" i="1"/>
  <c r="D18" i="1" s="1"/>
  <c r="H14" i="1"/>
  <c r="H18" i="1" s="1"/>
  <c r="F14" i="1"/>
  <c r="F18" i="1" s="1"/>
  <c r="D15" i="1"/>
  <c r="D19" i="1" s="1"/>
  <c r="M15" i="1"/>
  <c r="N20" i="1"/>
  <c r="N25" i="1" s="1"/>
  <c r="G13" i="1"/>
  <c r="G17" i="1" s="1"/>
  <c r="E13" i="1"/>
  <c r="E17" i="1" s="1"/>
  <c r="G14" i="1"/>
  <c r="G18" i="1" s="1"/>
  <c r="M16" i="1"/>
  <c r="N19" i="1"/>
  <c r="N24" i="1" s="1"/>
  <c r="E15" i="1"/>
  <c r="E19" i="1" s="1"/>
  <c r="H13" i="1"/>
  <c r="H17" i="1" s="1"/>
  <c r="L18" i="1"/>
  <c r="H15" i="1"/>
  <c r="H19" i="1" s="1"/>
  <c r="O18" i="1"/>
  <c r="F13" i="1"/>
  <c r="F17" i="1" s="1"/>
  <c r="O20" i="1"/>
  <c r="F15" i="1"/>
  <c r="F19" i="1" s="1"/>
  <c r="S19" i="1" l="1"/>
  <c r="S23" i="1" s="1"/>
  <c r="U24" i="1"/>
  <c r="U25" i="1"/>
  <c r="U23" i="1"/>
  <c r="T21" i="1"/>
  <c r="T25" i="1" s="1"/>
  <c r="T20" i="1"/>
  <c r="T24" i="1" s="1"/>
  <c r="T19" i="1"/>
  <c r="T23" i="1" s="1"/>
  <c r="Q23" i="1" s="1"/>
  <c r="S21" i="1"/>
  <c r="S25" i="1" s="1"/>
  <c r="Q25" i="1" s="1"/>
  <c r="S20" i="1"/>
  <c r="S24" i="1" s="1"/>
  <c r="M20" i="1"/>
  <c r="M25" i="1" s="1"/>
  <c r="K25" i="1" s="1"/>
  <c r="C19" i="1"/>
  <c r="M18" i="1"/>
  <c r="M23" i="1" s="1"/>
  <c r="K23" i="1" s="1"/>
  <c r="C18" i="1"/>
  <c r="M19" i="1"/>
  <c r="M24" i="1" s="1"/>
  <c r="K24" i="1" s="1"/>
  <c r="C17" i="1"/>
  <c r="Q24" i="1" l="1"/>
</calcChain>
</file>

<file path=xl/sharedStrings.xml><?xml version="1.0" encoding="utf-8"?>
<sst xmlns="http://schemas.openxmlformats.org/spreadsheetml/2006/main" count="102" uniqueCount="57">
  <si>
    <t>MAX</t>
  </si>
  <si>
    <t>MIN</t>
  </si>
  <si>
    <t>System Level Circularity</t>
  </si>
  <si>
    <t>Product Design &amp; Adaptability</t>
  </si>
  <si>
    <t>Disassembly &amp; Repair</t>
  </si>
  <si>
    <t>Material Input &amp; Composition</t>
  </si>
  <si>
    <r>
      <t>Reuse, Remanufacturing &amp; Refurbishment</t>
    </r>
    <r>
      <rPr>
        <sz val="11"/>
        <color rgb="FF202124"/>
        <rFont val="Roboto"/>
      </rPr>
      <t> </t>
    </r>
  </si>
  <si>
    <t>Efficiency &amp; Value Performance</t>
  </si>
  <si>
    <t>Waste Generation &amp; Management</t>
  </si>
  <si>
    <t>Recycling Performance</t>
  </si>
  <si>
    <t>Resource Retention &amp; Product Lifespan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</si>
  <si>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</si>
  <si>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</si>
  <si>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</si>
  <si>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</si>
  <si>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</si>
  <si>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</si>
  <si>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</si>
  <si>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</si>
  <si>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</si>
  <si>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I11</t>
  </si>
  <si>
    <t>I12</t>
  </si>
  <si>
    <t>I13</t>
  </si>
  <si>
    <t>I14</t>
  </si>
  <si>
    <t>I15</t>
  </si>
  <si>
    <t>A1</t>
  </si>
  <si>
    <t>A2</t>
  </si>
  <si>
    <t>A3</t>
  </si>
  <si>
    <t>max</t>
  </si>
  <si>
    <t>min</t>
  </si>
  <si>
    <t>I41</t>
  </si>
  <si>
    <t>I42</t>
  </si>
  <si>
    <t>I43</t>
  </si>
  <si>
    <t>I44</t>
  </si>
  <si>
    <t>I61</t>
  </si>
  <si>
    <t>I62</t>
  </si>
  <si>
    <t>I63</t>
  </si>
  <si>
    <t>I71</t>
  </si>
  <si>
    <t>I72</t>
  </si>
  <si>
    <t>I73</t>
  </si>
  <si>
    <t>I74</t>
  </si>
  <si>
    <t>I75</t>
  </si>
  <si>
    <t>I81</t>
  </si>
  <si>
    <t>I82</t>
  </si>
  <si>
    <t>I83</t>
  </si>
  <si>
    <t>I84</t>
  </si>
  <si>
    <t>I85</t>
  </si>
  <si>
    <t>I86</t>
  </si>
  <si>
    <t>I87</t>
  </si>
  <si>
    <t>I91</t>
  </si>
  <si>
    <t>I92</t>
  </si>
  <si>
    <t>W1</t>
  </si>
  <si>
    <t>W4</t>
  </si>
  <si>
    <t>W6</t>
  </si>
  <si>
    <t>W7</t>
  </si>
  <si>
    <t>W8</t>
  </si>
  <si>
    <t>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</si>
</sst>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202124"/>
      <name val="Roboto"/>
    </font>
    <font>
      <sz val="11"/>
      <color rgb="FF202124"/>
      <name val="Roboto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2" fontId="0" fillId="2" borderId="0" xfId="0" applyNumberFormat="1" applyFill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" fontId="0" fillId="2" borderId="0" xfId="0" applyNumberFormat="1" applyFill="1"/>
    <xf numFmtId="2" fontId="1" fillId="0" borderId="0" xfId="0" applyNumberFormat="1" applyFont="1"/>
    <xf numFmtId="2" fontId="4" fillId="0" borderId="0" xfId="0" applyNumberFormat="1" applyFont="1"/>
    <xf numFmtId="0" fontId="0" fillId="4" borderId="0" xfId="0" applyFill="1"/>
    <xf numFmtId="164" fontId="0" fillId="0" borderId="0" xfId="0" applyNumberFormat="1"/>
    <xf numFmtId="165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8"/>
  <sheetViews>
    <sheetView tabSelected="1" zoomScale="80" zoomScaleNormal="80" workbookViewId="0">
      <selection activeCell="C32" sqref="C32"/>
    </sheetView>
  </sheetViews>
  <sheetFormatPr defaultRowHeight="15" x14ac:dyDescent="0.25"/>
  <cols>
    <col min="3" max="3" width="25.140625" bestFit="1" customWidth="1"/>
    <col min="4" max="8" width="9.42578125" customWidth="1"/>
    <col min="9" max="9" width="30.5703125" bestFit="1" customWidth="1"/>
    <col min="10" max="10" width="22.85546875" bestFit="1" customWidth="1"/>
    <col min="11" max="11" width="29.5703125" bestFit="1" customWidth="1"/>
    <col min="12" max="12" width="10.7109375" customWidth="1"/>
    <col min="13" max="13" width="11" customWidth="1"/>
    <col min="14" max="14" width="9.42578125" customWidth="1"/>
    <col min="15" max="15" width="10.140625" customWidth="1"/>
    <col min="16" max="16" width="43" bestFit="1" customWidth="1"/>
    <col min="17" max="17" width="32.28515625" bestFit="1" customWidth="1"/>
    <col min="18" max="18" width="12.85546875" customWidth="1"/>
    <col min="19" max="19" width="11.28515625" customWidth="1"/>
    <col min="20" max="20" width="12.42578125" customWidth="1"/>
    <col min="21" max="21" width="33.85546875" bestFit="1" customWidth="1"/>
    <col min="22" max="22" width="13.85546875" customWidth="1"/>
    <col min="23" max="23" width="13" customWidth="1"/>
    <col min="24" max="24" width="11.85546875" customWidth="1"/>
    <col min="25" max="25" width="11.140625" customWidth="1"/>
    <col min="26" max="26" width="13" customWidth="1"/>
    <col min="27" max="27" width="24" bestFit="1" customWidth="1"/>
    <col min="28" max="28" width="13.42578125" customWidth="1"/>
    <col min="29" max="29" width="12.140625" customWidth="1"/>
    <col min="30" max="31" width="13.42578125" customWidth="1"/>
    <col min="32" max="32" width="13.85546875" customWidth="1"/>
    <col min="33" max="33" width="14" customWidth="1"/>
    <col min="34" max="34" width="12.42578125" customWidth="1"/>
    <col min="35" max="35" width="39.7109375" bestFit="1" customWidth="1"/>
  </cols>
  <sheetData>
    <row r="1" spans="1:37" x14ac:dyDescent="0.25">
      <c r="C1" s="5" t="s">
        <v>2</v>
      </c>
      <c r="D1" s="2"/>
      <c r="E1" s="2"/>
      <c r="F1" s="2"/>
      <c r="G1" s="2"/>
      <c r="H1" s="2"/>
      <c r="I1" s="7" t="s">
        <v>3</v>
      </c>
      <c r="J1" s="7" t="s">
        <v>4</v>
      </c>
      <c r="K1" s="5" t="s">
        <v>5</v>
      </c>
      <c r="L1" s="2"/>
      <c r="M1" s="2"/>
      <c r="N1" s="2"/>
      <c r="O1" s="2"/>
      <c r="P1" s="7" t="s">
        <v>6</v>
      </c>
      <c r="Q1" s="5" t="s">
        <v>7</v>
      </c>
      <c r="R1" s="2"/>
      <c r="S1" s="2"/>
      <c r="T1" s="2"/>
      <c r="U1" s="2" t="s">
        <v>8</v>
      </c>
      <c r="V1" s="2"/>
      <c r="W1" s="2"/>
      <c r="X1" s="2"/>
      <c r="Y1" s="2"/>
      <c r="Z1" s="2"/>
      <c r="AA1" s="2" t="s">
        <v>9</v>
      </c>
      <c r="AB1" s="2"/>
      <c r="AC1" s="2"/>
      <c r="AD1" s="2"/>
      <c r="AE1" s="2"/>
      <c r="AF1" s="2"/>
      <c r="AG1" s="2"/>
      <c r="AH1" s="2"/>
      <c r="AI1" s="2" t="s">
        <v>10</v>
      </c>
    </row>
    <row r="2" spans="1:37" x14ac:dyDescent="0.25">
      <c r="C2" s="6" t="s">
        <v>11</v>
      </c>
      <c r="I2" s="8" t="s">
        <v>12</v>
      </c>
      <c r="J2" s="8" t="s">
        <v>13</v>
      </c>
      <c r="K2" s="6" t="s">
        <v>14</v>
      </c>
      <c r="P2" s="8" t="s">
        <v>15</v>
      </c>
      <c r="Q2" s="6" t="s">
        <v>16</v>
      </c>
      <c r="U2" t="s">
        <v>17</v>
      </c>
      <c r="AA2" t="s">
        <v>18</v>
      </c>
      <c r="AI2" t="s">
        <v>19</v>
      </c>
    </row>
    <row r="3" spans="1:37" x14ac:dyDescent="0.25">
      <c r="D3" t="s">
        <v>0</v>
      </c>
      <c r="E3" t="s">
        <v>0</v>
      </c>
      <c r="F3" t="s">
        <v>0</v>
      </c>
      <c r="G3" t="s">
        <v>0</v>
      </c>
      <c r="H3" t="s">
        <v>0</v>
      </c>
      <c r="L3" t="s">
        <v>0</v>
      </c>
      <c r="M3" t="s">
        <v>1</v>
      </c>
      <c r="N3" t="s">
        <v>0</v>
      </c>
      <c r="O3" t="s">
        <v>0</v>
      </c>
      <c r="R3" t="s">
        <v>0</v>
      </c>
      <c r="S3" t="s">
        <v>1</v>
      </c>
      <c r="T3" t="s">
        <v>1</v>
      </c>
      <c r="V3" t="s">
        <v>1</v>
      </c>
      <c r="W3" t="s">
        <v>1</v>
      </c>
      <c r="X3" t="s">
        <v>1</v>
      </c>
      <c r="Y3" t="s">
        <v>1</v>
      </c>
      <c r="Z3" t="s">
        <v>0</v>
      </c>
      <c r="AB3" t="s">
        <v>0</v>
      </c>
      <c r="AC3" t="s">
        <v>1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J3" t="s">
        <v>1</v>
      </c>
      <c r="AK3" t="s">
        <v>0</v>
      </c>
    </row>
    <row r="4" spans="1:37" x14ac:dyDescent="0.25">
      <c r="D4" t="s">
        <v>20</v>
      </c>
      <c r="E4" t="s">
        <v>21</v>
      </c>
      <c r="F4" t="s">
        <v>22</v>
      </c>
      <c r="G4" t="s">
        <v>23</v>
      </c>
      <c r="H4" t="s">
        <v>24</v>
      </c>
      <c r="L4" t="s">
        <v>30</v>
      </c>
      <c r="M4" t="s">
        <v>31</v>
      </c>
      <c r="N4" t="s">
        <v>32</v>
      </c>
      <c r="O4" t="s">
        <v>33</v>
      </c>
      <c r="R4" t="s">
        <v>34</v>
      </c>
      <c r="S4" t="s">
        <v>35</v>
      </c>
      <c r="T4" t="s">
        <v>36</v>
      </c>
      <c r="V4" t="s">
        <v>37</v>
      </c>
      <c r="W4" t="s">
        <v>38</v>
      </c>
      <c r="X4" t="s">
        <v>39</v>
      </c>
      <c r="Y4" t="s">
        <v>40</v>
      </c>
      <c r="Z4" t="s">
        <v>41</v>
      </c>
      <c r="AB4" t="s">
        <v>42</v>
      </c>
      <c r="AC4" t="s">
        <v>43</v>
      </c>
      <c r="AD4" t="s">
        <v>44</v>
      </c>
      <c r="AE4" t="s">
        <v>45</v>
      </c>
      <c r="AF4" t="s">
        <v>46</v>
      </c>
      <c r="AG4" t="s">
        <v>47</v>
      </c>
      <c r="AH4" t="s">
        <v>48</v>
      </c>
      <c r="AJ4" t="s">
        <v>49</v>
      </c>
      <c r="AK4" t="s">
        <v>50</v>
      </c>
    </row>
    <row r="5" spans="1:37" x14ac:dyDescent="0.25">
      <c r="A5" t="s">
        <v>25</v>
      </c>
      <c r="C5" s="4">
        <f>AVERAGE(D5:H5)</f>
        <v>0.18</v>
      </c>
      <c r="D5" s="3">
        <v>0</v>
      </c>
      <c r="E5" s="3">
        <v>0.9</v>
      </c>
      <c r="F5" s="3">
        <v>0</v>
      </c>
      <c r="G5" s="3">
        <v>0</v>
      </c>
      <c r="H5" s="3">
        <v>0</v>
      </c>
      <c r="L5" s="3">
        <v>0</v>
      </c>
      <c r="M5">
        <v>2</v>
      </c>
      <c r="N5" s="3">
        <v>0</v>
      </c>
      <c r="O5" s="3">
        <v>1</v>
      </c>
      <c r="R5">
        <v>0.17</v>
      </c>
      <c r="S5">
        <v>1</v>
      </c>
      <c r="T5">
        <v>0.44</v>
      </c>
      <c r="V5">
        <v>2579.9</v>
      </c>
      <c r="W5">
        <v>1</v>
      </c>
      <c r="X5">
        <v>0.1</v>
      </c>
      <c r="Y5">
        <v>2.58</v>
      </c>
      <c r="Z5">
        <v>0.15</v>
      </c>
      <c r="AB5">
        <v>0.95</v>
      </c>
      <c r="AC5">
        <v>0</v>
      </c>
      <c r="AD5">
        <v>0.91</v>
      </c>
      <c r="AE5">
        <v>0</v>
      </c>
      <c r="AF5">
        <v>0</v>
      </c>
      <c r="AG5">
        <v>0.95</v>
      </c>
      <c r="AH5">
        <v>0.95</v>
      </c>
      <c r="AJ5">
        <v>0.1</v>
      </c>
      <c r="AK5">
        <v>0.91</v>
      </c>
    </row>
    <row r="6" spans="1:37" x14ac:dyDescent="0.25">
      <c r="A6" t="s">
        <v>26</v>
      </c>
      <c r="C6" s="4">
        <f t="shared" ref="C6:C7" si="0">AVERAGE(D6:H6)</f>
        <v>0.99</v>
      </c>
      <c r="D6" s="3">
        <v>1</v>
      </c>
      <c r="E6" s="3">
        <v>0.95</v>
      </c>
      <c r="F6" s="3">
        <v>1</v>
      </c>
      <c r="G6" s="3">
        <v>1</v>
      </c>
      <c r="H6" s="3">
        <v>1</v>
      </c>
      <c r="L6" s="3">
        <v>0</v>
      </c>
      <c r="M6">
        <v>1</v>
      </c>
      <c r="N6">
        <v>1</v>
      </c>
      <c r="O6">
        <v>1</v>
      </c>
      <c r="R6">
        <v>0.92</v>
      </c>
      <c r="S6">
        <v>0.04</v>
      </c>
      <c r="T6">
        <v>2.8000000000000001E-2</v>
      </c>
      <c r="V6">
        <v>30.4</v>
      </c>
      <c r="W6">
        <v>0.05</v>
      </c>
      <c r="X6">
        <v>0.05</v>
      </c>
      <c r="Y6">
        <v>0.03</v>
      </c>
      <c r="Z6">
        <v>0.75</v>
      </c>
      <c r="AB6">
        <v>0.95</v>
      </c>
      <c r="AC6">
        <v>0.65</v>
      </c>
      <c r="AD6">
        <v>1</v>
      </c>
      <c r="AE6">
        <v>1</v>
      </c>
      <c r="AF6">
        <v>0.9</v>
      </c>
      <c r="AG6">
        <v>0.95</v>
      </c>
      <c r="AH6">
        <v>0.95</v>
      </c>
      <c r="AJ6">
        <v>0.05</v>
      </c>
      <c r="AK6">
        <v>0.91</v>
      </c>
    </row>
    <row r="7" spans="1:37" x14ac:dyDescent="0.25">
      <c r="A7" t="s">
        <v>27</v>
      </c>
      <c r="C7" s="4">
        <f t="shared" si="0"/>
        <v>0.72</v>
      </c>
      <c r="D7" s="3">
        <v>0.6</v>
      </c>
      <c r="E7" s="3">
        <v>0.93</v>
      </c>
      <c r="F7" s="3">
        <v>0.6</v>
      </c>
      <c r="G7" s="3">
        <v>0.6</v>
      </c>
      <c r="H7" s="3">
        <v>0.87</v>
      </c>
      <c r="L7">
        <v>0</v>
      </c>
      <c r="M7">
        <v>1.4</v>
      </c>
      <c r="N7">
        <v>0.6</v>
      </c>
      <c r="O7">
        <v>1</v>
      </c>
      <c r="R7">
        <v>0.62</v>
      </c>
      <c r="S7">
        <v>0.43</v>
      </c>
      <c r="T7">
        <v>0.19</v>
      </c>
      <c r="V7">
        <v>1050.2</v>
      </c>
      <c r="W7">
        <v>0.43</v>
      </c>
      <c r="X7">
        <v>7.0000000000000007E-2</v>
      </c>
      <c r="Y7">
        <v>1.05</v>
      </c>
      <c r="Z7">
        <v>0.51</v>
      </c>
      <c r="AB7">
        <v>0.95</v>
      </c>
      <c r="AC7" s="12">
        <v>0.39</v>
      </c>
      <c r="AD7">
        <v>0.96</v>
      </c>
      <c r="AE7">
        <v>0.6</v>
      </c>
      <c r="AF7">
        <v>0.42</v>
      </c>
      <c r="AG7">
        <v>0.95</v>
      </c>
      <c r="AH7">
        <v>0.95</v>
      </c>
      <c r="AJ7">
        <v>7.0000000000000007E-2</v>
      </c>
      <c r="AK7">
        <v>0.93</v>
      </c>
    </row>
    <row r="9" spans="1:37" x14ac:dyDescent="0.25">
      <c r="L9" t="s">
        <v>0</v>
      </c>
      <c r="M9" t="s">
        <v>0</v>
      </c>
      <c r="N9" t="s">
        <v>0</v>
      </c>
      <c r="O9" t="s">
        <v>0</v>
      </c>
      <c r="R9" t="s">
        <v>0</v>
      </c>
      <c r="S9" t="s">
        <v>0</v>
      </c>
      <c r="T9" t="s">
        <v>0</v>
      </c>
    </row>
    <row r="10" spans="1:37" x14ac:dyDescent="0.25">
      <c r="A10" t="s">
        <v>29</v>
      </c>
      <c r="D10" s="3">
        <f>MIN(D5:D7)</f>
        <v>0</v>
      </c>
      <c r="E10" s="3">
        <f t="shared" ref="E10:H10" si="1">MIN(E5:E7)</f>
        <v>0.9</v>
      </c>
      <c r="F10" s="3">
        <f t="shared" si="1"/>
        <v>0</v>
      </c>
      <c r="G10" s="3">
        <f t="shared" si="1"/>
        <v>0</v>
      </c>
      <c r="H10" s="3">
        <f t="shared" si="1"/>
        <v>0</v>
      </c>
      <c r="L10" s="3">
        <v>0</v>
      </c>
      <c r="M10" s="3">
        <f>6-M5</f>
        <v>4</v>
      </c>
      <c r="N10" s="3">
        <v>0</v>
      </c>
      <c r="O10" s="3">
        <v>1</v>
      </c>
      <c r="R10">
        <v>0.17</v>
      </c>
      <c r="S10">
        <f>1-S5</f>
        <v>0</v>
      </c>
      <c r="T10">
        <f>1-T5</f>
        <v>0.56000000000000005</v>
      </c>
      <c r="V10">
        <f>MIN(V5:V7)</f>
        <v>30.4</v>
      </c>
      <c r="W10">
        <f t="shared" ref="W10:Z10" si="2">MIN(W5:W7)</f>
        <v>0.05</v>
      </c>
      <c r="X10">
        <f t="shared" si="2"/>
        <v>0.05</v>
      </c>
      <c r="Y10">
        <f t="shared" si="2"/>
        <v>0.03</v>
      </c>
      <c r="Z10">
        <f t="shared" si="2"/>
        <v>0.15</v>
      </c>
      <c r="AB10">
        <f>MIN(AB5:AB7)</f>
        <v>0.95</v>
      </c>
      <c r="AC10">
        <f t="shared" ref="AC10:AH10" si="3">MIN(AC5:AC7)</f>
        <v>0</v>
      </c>
      <c r="AD10">
        <f t="shared" si="3"/>
        <v>0.91</v>
      </c>
      <c r="AE10">
        <f t="shared" si="3"/>
        <v>0</v>
      </c>
      <c r="AF10">
        <f t="shared" si="3"/>
        <v>0</v>
      </c>
      <c r="AG10">
        <f t="shared" si="3"/>
        <v>0.95</v>
      </c>
      <c r="AH10">
        <f t="shared" si="3"/>
        <v>0.95</v>
      </c>
      <c r="AJ10" t="s">
        <v>0</v>
      </c>
      <c r="AK10" t="s">
        <v>0</v>
      </c>
    </row>
    <row r="11" spans="1:37" x14ac:dyDescent="0.25">
      <c r="A11" t="s">
        <v>28</v>
      </c>
      <c r="D11" s="3">
        <f>MAX(D5:D7)</f>
        <v>1</v>
      </c>
      <c r="E11" s="3">
        <f t="shared" ref="E11:H11" si="4">MAX(E5:E7)</f>
        <v>0.95</v>
      </c>
      <c r="F11" s="3">
        <f t="shared" si="4"/>
        <v>1</v>
      </c>
      <c r="G11" s="3">
        <f t="shared" si="4"/>
        <v>1</v>
      </c>
      <c r="H11" s="3">
        <f t="shared" si="4"/>
        <v>1</v>
      </c>
      <c r="L11" s="3">
        <v>0</v>
      </c>
      <c r="M11" s="3">
        <f t="shared" ref="M11:M12" si="5">6-M6</f>
        <v>5</v>
      </c>
      <c r="N11">
        <v>1</v>
      </c>
      <c r="O11">
        <v>1</v>
      </c>
      <c r="R11">
        <v>0.92</v>
      </c>
      <c r="S11">
        <f t="shared" ref="S11:T12" si="6">1-S6</f>
        <v>0.96</v>
      </c>
      <c r="T11">
        <f t="shared" si="6"/>
        <v>0.97199999999999998</v>
      </c>
      <c r="V11">
        <f>MAX(V5:V7)</f>
        <v>2579.9</v>
      </c>
      <c r="W11">
        <f t="shared" ref="W11:Z11" si="7">MAX(W5:W7)</f>
        <v>1</v>
      </c>
      <c r="X11">
        <f t="shared" si="7"/>
        <v>0.1</v>
      </c>
      <c r="Y11">
        <f t="shared" si="7"/>
        <v>2.58</v>
      </c>
      <c r="Z11">
        <f t="shared" si="7"/>
        <v>0.75</v>
      </c>
      <c r="AB11">
        <f>MAX(AB5:AB7)</f>
        <v>0.95</v>
      </c>
      <c r="AC11">
        <f t="shared" ref="AC11:AH11" si="8">MAX(AC5:AC7)</f>
        <v>0.65</v>
      </c>
      <c r="AD11">
        <f t="shared" si="8"/>
        <v>1</v>
      </c>
      <c r="AE11">
        <f t="shared" si="8"/>
        <v>1</v>
      </c>
      <c r="AF11">
        <f t="shared" si="8"/>
        <v>0.9</v>
      </c>
      <c r="AG11">
        <f t="shared" si="8"/>
        <v>0.95</v>
      </c>
      <c r="AH11">
        <f t="shared" si="8"/>
        <v>0.95</v>
      </c>
      <c r="AJ11">
        <f>1-AJ5</f>
        <v>0.9</v>
      </c>
      <c r="AK11">
        <v>0.91</v>
      </c>
    </row>
    <row r="12" spans="1:37" x14ac:dyDescent="0.25">
      <c r="L12">
        <v>0</v>
      </c>
      <c r="M12" s="3">
        <f t="shared" si="5"/>
        <v>4.5999999999999996</v>
      </c>
      <c r="N12">
        <v>0.6</v>
      </c>
      <c r="O12">
        <v>1</v>
      </c>
      <c r="R12">
        <v>0.62</v>
      </c>
      <c r="S12">
        <f t="shared" si="6"/>
        <v>0.57000000000000006</v>
      </c>
      <c r="T12">
        <f t="shared" si="6"/>
        <v>0.81</v>
      </c>
      <c r="AJ12">
        <f t="shared" ref="AJ12:AJ13" si="9">1-AJ6</f>
        <v>0.95</v>
      </c>
      <c r="AK12">
        <v>0.91</v>
      </c>
    </row>
    <row r="13" spans="1:37" x14ac:dyDescent="0.25">
      <c r="D13" s="3">
        <f>(D5-$D$10)/($D$11-$D$10)</f>
        <v>0</v>
      </c>
      <c r="E13" s="3">
        <f>(E5-$E$10)/($E$11-$E$10)</f>
        <v>0</v>
      </c>
      <c r="F13" s="3">
        <f>(F5-$F$10)/($F$11-$F$10)</f>
        <v>0</v>
      </c>
      <c r="G13" s="3">
        <f>(G5-$G$10)/($G$11-$G$10)</f>
        <v>0</v>
      </c>
      <c r="H13" s="3">
        <f>(H5-$H$10)/($H$11-$H$10)</f>
        <v>0</v>
      </c>
      <c r="AJ13">
        <f t="shared" si="9"/>
        <v>0.92999999999999994</v>
      </c>
      <c r="AK13">
        <v>0.93</v>
      </c>
    </row>
    <row r="14" spans="1:37" x14ac:dyDescent="0.25">
      <c r="D14" s="3">
        <f t="shared" ref="D14:D15" si="10">(D6-$D$10)/($D$11-$D$10)</f>
        <v>1</v>
      </c>
      <c r="E14" s="3">
        <f t="shared" ref="E14:E15" si="11">(E6-$E$10)/($E$11-$E$10)</f>
        <v>1</v>
      </c>
      <c r="F14" s="3">
        <f t="shared" ref="F14:F15" si="12">(F6-$F$10)/($F$11-$F$10)</f>
        <v>1</v>
      </c>
      <c r="G14" s="3">
        <f t="shared" ref="G14:G15" si="13">(G6-$G$10)/($G$11-$G$10)</f>
        <v>1</v>
      </c>
      <c r="H14" s="3">
        <f t="shared" ref="H14:H15" si="14">(H6-$H$10)/($H$11-$H$10)</f>
        <v>1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</row>
    <row r="15" spans="1:37" x14ac:dyDescent="0.25">
      <c r="D15" s="3">
        <f t="shared" si="10"/>
        <v>0.6</v>
      </c>
      <c r="E15" s="3">
        <f t="shared" si="11"/>
        <v>0.60000000000000131</v>
      </c>
      <c r="F15" s="3">
        <f t="shared" si="12"/>
        <v>0.6</v>
      </c>
      <c r="G15" s="3">
        <f t="shared" si="13"/>
        <v>0.6</v>
      </c>
      <c r="H15" s="3">
        <f t="shared" si="14"/>
        <v>0.87</v>
      </c>
      <c r="L15" s="10">
        <f>MIN(L10:L12)</f>
        <v>0</v>
      </c>
      <c r="M15" s="3">
        <f t="shared" ref="M15:O15" si="15">MIN(M10:M12)</f>
        <v>4</v>
      </c>
      <c r="N15" s="3">
        <f t="shared" si="15"/>
        <v>0</v>
      </c>
      <c r="O15" s="10">
        <f t="shared" si="15"/>
        <v>1</v>
      </c>
      <c r="R15">
        <f>MIN(R10:R12)</f>
        <v>0.17</v>
      </c>
      <c r="S15">
        <f t="shared" ref="S15:T15" si="16">MIN(S10:S12)</f>
        <v>0</v>
      </c>
      <c r="T15">
        <f t="shared" si="16"/>
        <v>0.56000000000000005</v>
      </c>
      <c r="V15">
        <f>($W$11-W5)/($W$11-$W$10)</f>
        <v>0</v>
      </c>
      <c r="W15">
        <f>($W$11-W5)/($W$11-$W$10)</f>
        <v>0</v>
      </c>
      <c r="X15">
        <f>($X$11-X5)/($X$11-$X$10)</f>
        <v>0</v>
      </c>
      <c r="Y15">
        <f>($Y$11-Y5)/($Y$11-$Y$10)</f>
        <v>0</v>
      </c>
      <c r="Z15">
        <f>(Z5-$Z$10)/($Z$11-$Z$10)</f>
        <v>0</v>
      </c>
      <c r="AB15" s="1" t="e">
        <f>(AB5-$AB$10)/($AB$11-$AB$10)</f>
        <v>#DIV/0!</v>
      </c>
      <c r="AC15">
        <f>($AC$11-AC5)/($AC$11-$AC$10)</f>
        <v>1</v>
      </c>
      <c r="AD15">
        <f>(AD5-$AD$10)/($AD$11-$AD$10)</f>
        <v>0</v>
      </c>
      <c r="AE15">
        <f>(AE5-$AE$10)/($AE$11-$AE$10)</f>
        <v>0</v>
      </c>
      <c r="AF15">
        <f>(AF5-$AF$10)/($AF$11-$AF$10)</f>
        <v>0</v>
      </c>
      <c r="AG15" s="1" t="e">
        <f>(AG5-$AG$10)/($AG$11-$AG$10)</f>
        <v>#DIV/0!</v>
      </c>
      <c r="AH15" s="1" t="e">
        <f>(AH5-$AH$10)/($AH$11-$AH$10)</f>
        <v>#DIV/0!</v>
      </c>
    </row>
    <row r="16" spans="1:37" x14ac:dyDescent="0.25">
      <c r="L16" s="10">
        <f>MAX(L10:L12)</f>
        <v>0</v>
      </c>
      <c r="M16" s="3">
        <f t="shared" ref="M16:O16" si="17">MAX(M10:M12)</f>
        <v>5</v>
      </c>
      <c r="N16" s="3">
        <f t="shared" si="17"/>
        <v>1</v>
      </c>
      <c r="O16" s="10">
        <f t="shared" si="17"/>
        <v>1</v>
      </c>
      <c r="R16">
        <f>MAX(R10:R12)</f>
        <v>0.92</v>
      </c>
      <c r="S16">
        <f t="shared" ref="S16:T16" si="18">MAX(S10:S12)</f>
        <v>0.96</v>
      </c>
      <c r="T16">
        <f t="shared" si="18"/>
        <v>0.97199999999999998</v>
      </c>
      <c r="V16">
        <f t="shared" ref="V16:V17" si="19">($V$11-V6)/($V$11-$V$10)</f>
        <v>1</v>
      </c>
      <c r="W16">
        <f t="shared" ref="W16:W17" si="20">($W$11-W6)/($W$11-$W$10)</f>
        <v>1</v>
      </c>
      <c r="X16">
        <f t="shared" ref="X16:X17" si="21">($X$11-X6)/($X$11-$X$10)</f>
        <v>1</v>
      </c>
      <c r="Y16">
        <f t="shared" ref="Y16:Y17" si="22">($Y$11-Y6)/($Y$11-$Y$10)</f>
        <v>1</v>
      </c>
      <c r="Z16">
        <f t="shared" ref="Z16:Z17" si="23">(Z6-$Z$10)/($Z$11-$Z$10)</f>
        <v>1</v>
      </c>
      <c r="AB16" s="1" t="e">
        <f t="shared" ref="AB16:AB17" si="24">(AB6-$AB$10)/($AB$11-$AB$10)</f>
        <v>#DIV/0!</v>
      </c>
      <c r="AC16" s="3">
        <f t="shared" ref="AC16:AC17" si="25">($AC$11-AC6)/($AC$11-$AC$10)</f>
        <v>0</v>
      </c>
      <c r="AD16">
        <f t="shared" ref="AD16:AD17" si="26">(AD6-$AD$10)/($AD$11-$AD$10)</f>
        <v>1</v>
      </c>
      <c r="AE16">
        <f t="shared" ref="AE16:AE17" si="27">(AE6-$AE$10)/($AE$11-$AE$10)</f>
        <v>1</v>
      </c>
      <c r="AF16">
        <f t="shared" ref="AF16:AF17" si="28">(AF6-$AF$10)/($AF$11-$AF$10)</f>
        <v>1</v>
      </c>
      <c r="AG16" s="1" t="e">
        <f t="shared" ref="AG16:AG17" si="29">(AG6-$AG$10)/($AG$11-$AG$10)</f>
        <v>#DIV/0!</v>
      </c>
      <c r="AH16" s="1" t="e">
        <f t="shared" ref="AH16:AH17" si="30">(AH6-$AH$10)/($AH$11-$AH$10)</f>
        <v>#DIV/0!</v>
      </c>
      <c r="AJ16">
        <f>MIN(AJ11:AJ13)</f>
        <v>0.9</v>
      </c>
      <c r="AK16">
        <f>MIN(AK11:AK13)</f>
        <v>0.91</v>
      </c>
    </row>
    <row r="17" spans="3:40" x14ac:dyDescent="0.25">
      <c r="C17" s="9">
        <f>AVERAGE(D17:H17)</f>
        <v>0</v>
      </c>
      <c r="D17">
        <f>100*ROUND(D13,2)</f>
        <v>0</v>
      </c>
      <c r="E17">
        <f t="shared" ref="E17:H17" si="31">100*ROUND(E13,2)</f>
        <v>0</v>
      </c>
      <c r="F17">
        <f t="shared" si="31"/>
        <v>0</v>
      </c>
      <c r="G17">
        <f t="shared" si="31"/>
        <v>0</v>
      </c>
      <c r="H17">
        <f t="shared" si="31"/>
        <v>0</v>
      </c>
      <c r="L17" s="1"/>
      <c r="V17" s="3">
        <f t="shared" si="19"/>
        <v>0.6</v>
      </c>
      <c r="W17" s="3">
        <f t="shared" si="20"/>
        <v>0.60000000000000009</v>
      </c>
      <c r="X17" s="3">
        <f t="shared" si="21"/>
        <v>0.6</v>
      </c>
      <c r="Y17" s="3">
        <f t="shared" si="22"/>
        <v>0.6</v>
      </c>
      <c r="Z17" s="3">
        <f t="shared" si="23"/>
        <v>0.6</v>
      </c>
      <c r="AB17" s="1" t="e">
        <f t="shared" si="24"/>
        <v>#DIV/0!</v>
      </c>
      <c r="AC17">
        <f t="shared" si="25"/>
        <v>0.4</v>
      </c>
      <c r="AD17" s="3">
        <f t="shared" si="26"/>
        <v>0.55555555555555503</v>
      </c>
      <c r="AE17">
        <f t="shared" si="27"/>
        <v>0.6</v>
      </c>
      <c r="AF17" s="3">
        <f t="shared" si="28"/>
        <v>0.46666666666666662</v>
      </c>
      <c r="AG17" s="1" t="e">
        <f t="shared" si="29"/>
        <v>#DIV/0!</v>
      </c>
      <c r="AH17" s="1" t="e">
        <f t="shared" si="30"/>
        <v>#DIV/0!</v>
      </c>
      <c r="AJ17">
        <f>MAX(AJ11:AJ13)</f>
        <v>0.95</v>
      </c>
      <c r="AK17">
        <f>MAX(AK11:AK13)</f>
        <v>0.93</v>
      </c>
    </row>
    <row r="18" spans="3:40" x14ac:dyDescent="0.25">
      <c r="C18" s="9">
        <f t="shared" ref="C18:C19" si="32">AVERAGE(D18:H18)</f>
        <v>100</v>
      </c>
      <c r="D18">
        <f t="shared" ref="D18:H19" si="33">100*ROUND(D14,2)</f>
        <v>100</v>
      </c>
      <c r="E18">
        <f t="shared" si="33"/>
        <v>100</v>
      </c>
      <c r="F18">
        <f t="shared" si="33"/>
        <v>100</v>
      </c>
      <c r="G18">
        <f t="shared" si="33"/>
        <v>100</v>
      </c>
      <c r="H18">
        <f t="shared" si="33"/>
        <v>100</v>
      </c>
      <c r="L18" s="10" t="e">
        <f>(L10-$L$15)/($L$16-$L$15)</f>
        <v>#DIV/0!</v>
      </c>
      <c r="M18" s="11">
        <f>(M10-$M$15)/($M$16-$M$15)</f>
        <v>0</v>
      </c>
      <c r="N18" s="11">
        <f>(N10-$N$15)/($N$16-$N$15)</f>
        <v>0</v>
      </c>
      <c r="O18" s="10" t="e">
        <f>(O10-$O$15)/($O$16-$O$15)</f>
        <v>#DIV/0!</v>
      </c>
    </row>
    <row r="19" spans="3:40" x14ac:dyDescent="0.25">
      <c r="C19" s="9">
        <f t="shared" si="32"/>
        <v>65.400000000000006</v>
      </c>
      <c r="D19">
        <f t="shared" si="33"/>
        <v>60</v>
      </c>
      <c r="E19">
        <f t="shared" si="33"/>
        <v>60</v>
      </c>
      <c r="F19">
        <f t="shared" si="33"/>
        <v>60</v>
      </c>
      <c r="G19">
        <f t="shared" si="33"/>
        <v>60</v>
      </c>
      <c r="H19">
        <f t="shared" si="33"/>
        <v>87</v>
      </c>
      <c r="L19" s="10" t="e">
        <f>(L11-$L$15)/($L$16-$L$15)</f>
        <v>#DIV/0!</v>
      </c>
      <c r="M19" s="11">
        <f t="shared" ref="M19:M20" si="34">(M11-$M$15)/($M$16-$M$15)</f>
        <v>1</v>
      </c>
      <c r="N19" s="11">
        <f t="shared" ref="N19:N20" si="35">(N11-$N$15)/($N$16-$N$15)</f>
        <v>1</v>
      </c>
      <c r="O19" s="10" t="e">
        <f>(O11-$O$15)/($O$16-$O$15)</f>
        <v>#DIV/0!</v>
      </c>
      <c r="R19">
        <f>(R10-$R$15)/($R$16-$R$15)</f>
        <v>0</v>
      </c>
      <c r="S19">
        <f>(S10-$S$15)/($S$16-$S$15)</f>
        <v>0</v>
      </c>
      <c r="T19">
        <f>(T10-$T$15)/($T$16-$T$15)</f>
        <v>0</v>
      </c>
      <c r="AJ19">
        <f>(AJ11-$AJ$16)/($AJ$17-$AJ$16)</f>
        <v>0</v>
      </c>
      <c r="AK19">
        <f>(AK11-$AK$16)/($AK$17-$AK$16)</f>
        <v>0</v>
      </c>
    </row>
    <row r="20" spans="3:40" x14ac:dyDescent="0.25">
      <c r="L20" s="10" t="e">
        <f>(L12-$L$15)/($L$16-$L$15)</f>
        <v>#DIV/0!</v>
      </c>
      <c r="M20" s="11">
        <f t="shared" si="34"/>
        <v>0.59999999999999964</v>
      </c>
      <c r="N20" s="11">
        <f t="shared" si="35"/>
        <v>0.6</v>
      </c>
      <c r="O20" s="10" t="e">
        <f t="shared" ref="O20" si="36">(O12-$O$15)/($O$16-$O$15)</f>
        <v>#DIV/0!</v>
      </c>
      <c r="R20">
        <f t="shared" ref="R20:R21" si="37">(R11-$R$15)/($R$16-$R$15)</f>
        <v>1</v>
      </c>
      <c r="S20">
        <f t="shared" ref="S20:S21" si="38">(S11-$S$15)/($S$16-$S$15)</f>
        <v>1</v>
      </c>
      <c r="T20">
        <f t="shared" ref="T20:T21" si="39">(T11-$T$15)/($T$16-$T$15)</f>
        <v>1</v>
      </c>
      <c r="AJ20">
        <f t="shared" ref="AJ20:AJ21" si="40">(AJ12-$AJ$16)/($AJ$17-$AJ$16)</f>
        <v>1</v>
      </c>
      <c r="AK20">
        <f t="shared" ref="AK20:AK21" si="41">(AK12-$AK$16)/($AK$17-$AK$16)</f>
        <v>0</v>
      </c>
    </row>
    <row r="21" spans="3:40" x14ac:dyDescent="0.25">
      <c r="L21" s="10"/>
      <c r="R21">
        <f t="shared" si="37"/>
        <v>0.6</v>
      </c>
      <c r="S21">
        <f t="shared" si="38"/>
        <v>0.59375000000000011</v>
      </c>
      <c r="T21">
        <f t="shared" si="39"/>
        <v>0.60679611650485443</v>
      </c>
      <c r="AJ21">
        <f t="shared" si="40"/>
        <v>0.59999999999999909</v>
      </c>
      <c r="AK21">
        <f t="shared" si="41"/>
        <v>1</v>
      </c>
    </row>
    <row r="23" spans="3:40" x14ac:dyDescent="0.25">
      <c r="K23" s="6">
        <f>AVERAGE(M23:N23)</f>
        <v>0</v>
      </c>
      <c r="M23">
        <f>100*ROUND(M18,2)</f>
        <v>0</v>
      </c>
      <c r="N23">
        <f>100*ROUND(N18,2)</f>
        <v>0</v>
      </c>
      <c r="Q23" s="6">
        <f>AVERAGE(R23:T23)</f>
        <v>0</v>
      </c>
      <c r="R23">
        <f>100*ROUND(R19,2)</f>
        <v>0</v>
      </c>
      <c r="S23">
        <f t="shared" ref="S23:T23" si="42">100*ROUND(S19,2)</f>
        <v>0</v>
      </c>
      <c r="T23">
        <f t="shared" si="42"/>
        <v>0</v>
      </c>
      <c r="U23" s="6">
        <f>AVERAGE(V23:Z23)</f>
        <v>0</v>
      </c>
      <c r="V23">
        <f>100*ROUND(V15,2)</f>
        <v>0</v>
      </c>
      <c r="W23">
        <f t="shared" ref="W23:Z23" si="43">100*ROUND(W15,2)</f>
        <v>0</v>
      </c>
      <c r="X23">
        <f t="shared" si="43"/>
        <v>0</v>
      </c>
      <c r="Y23">
        <f t="shared" si="43"/>
        <v>0</v>
      </c>
      <c r="Z23">
        <f t="shared" si="43"/>
        <v>0</v>
      </c>
      <c r="AA23" s="9">
        <f>AVERAGE(AC23:AF23)</f>
        <v>25</v>
      </c>
      <c r="AC23">
        <f>100*ROUND(AC15,2)</f>
        <v>100</v>
      </c>
      <c r="AD23">
        <f t="shared" ref="AD23:AF23" si="44">100*ROUND(AD15,2)</f>
        <v>0</v>
      </c>
      <c r="AE23">
        <f t="shared" si="44"/>
        <v>0</v>
      </c>
      <c r="AF23">
        <f t="shared" si="44"/>
        <v>0</v>
      </c>
      <c r="AI23" s="6">
        <f>AVERAGE(AJ23:AK23)</f>
        <v>0</v>
      </c>
      <c r="AJ23">
        <f>100*ROUND(AJ19,2)</f>
        <v>0</v>
      </c>
      <c r="AK23">
        <f>100*ROUND(AK19,2)</f>
        <v>0</v>
      </c>
    </row>
    <row r="24" spans="3:40" x14ac:dyDescent="0.25">
      <c r="K24" s="6">
        <f t="shared" ref="K24:K25" si="45">AVERAGE(M24:N24)</f>
        <v>100</v>
      </c>
      <c r="M24">
        <f t="shared" ref="M24:N25" si="46">100*ROUND(M19,2)</f>
        <v>100</v>
      </c>
      <c r="N24">
        <f t="shared" si="46"/>
        <v>100</v>
      </c>
      <c r="Q24" s="6">
        <f t="shared" ref="Q24:Q25" si="47">AVERAGE(R24:T24)</f>
        <v>100</v>
      </c>
      <c r="R24">
        <f t="shared" ref="R24:T25" si="48">100*ROUND(R20,2)</f>
        <v>100</v>
      </c>
      <c r="S24">
        <f t="shared" si="48"/>
        <v>100</v>
      </c>
      <c r="T24">
        <f t="shared" si="48"/>
        <v>100</v>
      </c>
      <c r="U24" s="6">
        <f t="shared" ref="U24:U25" si="49">AVERAGE(V24:Z24)</f>
        <v>100</v>
      </c>
      <c r="V24">
        <f t="shared" ref="V24:Z25" si="50">100*ROUND(V16,2)</f>
        <v>100</v>
      </c>
      <c r="W24">
        <f t="shared" si="50"/>
        <v>100</v>
      </c>
      <c r="X24">
        <f t="shared" si="50"/>
        <v>100</v>
      </c>
      <c r="Y24">
        <f t="shared" si="50"/>
        <v>100</v>
      </c>
      <c r="Z24">
        <f t="shared" si="50"/>
        <v>100</v>
      </c>
      <c r="AA24" s="9">
        <f t="shared" ref="AA24:AA25" si="51">AVERAGE(AC24:AF24)</f>
        <v>75</v>
      </c>
      <c r="AC24">
        <f t="shared" ref="AC24:AF25" si="52">100*ROUND(AC16,2)</f>
        <v>0</v>
      </c>
      <c r="AD24">
        <f t="shared" si="52"/>
        <v>100</v>
      </c>
      <c r="AE24">
        <f t="shared" si="52"/>
        <v>100</v>
      </c>
      <c r="AF24">
        <f t="shared" si="52"/>
        <v>100</v>
      </c>
      <c r="AI24" s="6">
        <f t="shared" ref="AI24:AI25" si="53">AVERAGE(AJ24:AK24)</f>
        <v>50</v>
      </c>
      <c r="AJ24">
        <f t="shared" ref="AJ24:AK25" si="54">100*ROUND(AJ20,2)</f>
        <v>100</v>
      </c>
      <c r="AK24">
        <f t="shared" si="54"/>
        <v>0</v>
      </c>
    </row>
    <row r="25" spans="3:40" x14ac:dyDescent="0.25">
      <c r="K25" s="6">
        <f t="shared" si="45"/>
        <v>60</v>
      </c>
      <c r="M25">
        <f t="shared" si="46"/>
        <v>60</v>
      </c>
      <c r="N25">
        <f t="shared" si="46"/>
        <v>60</v>
      </c>
      <c r="Q25" s="6">
        <f t="shared" si="47"/>
        <v>60</v>
      </c>
      <c r="R25">
        <f t="shared" si="48"/>
        <v>60</v>
      </c>
      <c r="S25">
        <f t="shared" si="48"/>
        <v>59</v>
      </c>
      <c r="T25">
        <f t="shared" si="48"/>
        <v>61</v>
      </c>
      <c r="U25" s="6">
        <f t="shared" si="49"/>
        <v>60</v>
      </c>
      <c r="V25">
        <f t="shared" si="50"/>
        <v>60</v>
      </c>
      <c r="W25">
        <f t="shared" si="50"/>
        <v>60</v>
      </c>
      <c r="X25">
        <f t="shared" si="50"/>
        <v>60</v>
      </c>
      <c r="Y25">
        <f t="shared" si="50"/>
        <v>60</v>
      </c>
      <c r="Z25">
        <f t="shared" si="50"/>
        <v>60</v>
      </c>
      <c r="AA25" s="9">
        <f t="shared" si="51"/>
        <v>50.75</v>
      </c>
      <c r="AC25">
        <f t="shared" si="52"/>
        <v>40</v>
      </c>
      <c r="AD25">
        <f t="shared" si="52"/>
        <v>56.000000000000007</v>
      </c>
      <c r="AE25">
        <f t="shared" si="52"/>
        <v>60</v>
      </c>
      <c r="AF25">
        <f t="shared" si="52"/>
        <v>47</v>
      </c>
      <c r="AI25" s="6">
        <f t="shared" si="53"/>
        <v>80</v>
      </c>
      <c r="AJ25">
        <f t="shared" si="54"/>
        <v>60</v>
      </c>
      <c r="AK25">
        <f t="shared" si="54"/>
        <v>100</v>
      </c>
    </row>
    <row r="28" spans="3:40" x14ac:dyDescent="0.25">
      <c r="C28" s="6" t="s">
        <v>51</v>
      </c>
      <c r="K28" s="6" t="s">
        <v>52</v>
      </c>
      <c r="Q28" s="6" t="s">
        <v>53</v>
      </c>
      <c r="U28" s="6" t="s">
        <v>54</v>
      </c>
      <c r="AA28" s="6" t="s">
        <v>55</v>
      </c>
      <c r="AI28" s="6" t="s">
        <v>56</v>
      </c>
    </row>
    <row r="29" spans="3:40" x14ac:dyDescent="0.25">
      <c r="C29" s="14">
        <v>0.14038285869021808</v>
      </c>
      <c r="K29" s="14">
        <v>0.20272010291436729</v>
      </c>
      <c r="Q29" s="14">
        <v>0.17113508252396961</v>
      </c>
      <c r="U29" s="14">
        <v>0.150899870514139</v>
      </c>
      <c r="AA29" s="14">
        <v>0.15761049237947899</v>
      </c>
      <c r="AI29" s="14">
        <v>0.17725159297782705</v>
      </c>
    </row>
    <row r="32" spans="3:40" x14ac:dyDescent="0.25">
      <c r="C32">
        <v>0.1404</v>
      </c>
      <c r="K32">
        <v>0.20269999999999999</v>
      </c>
      <c r="Q32">
        <v>0.1711</v>
      </c>
      <c r="U32">
        <v>0.15090000000000001</v>
      </c>
      <c r="AA32">
        <v>0.15759999999999999</v>
      </c>
      <c r="AI32">
        <v>0.17730000000000001</v>
      </c>
      <c r="AN32" s="13">
        <f>SUM(C32:AM32)</f>
        <v>1</v>
      </c>
    </row>
    <row r="36" spans="3:8" x14ac:dyDescent="0.25">
      <c r="C36" s="15">
        <v>0</v>
      </c>
      <c r="D36">
        <v>0</v>
      </c>
      <c r="E36">
        <v>0</v>
      </c>
      <c r="F36">
        <v>0</v>
      </c>
      <c r="G36">
        <v>25</v>
      </c>
      <c r="H36">
        <v>0</v>
      </c>
    </row>
    <row r="37" spans="3:8" x14ac:dyDescent="0.25">
      <c r="C37" s="15">
        <v>100</v>
      </c>
      <c r="D37">
        <v>100</v>
      </c>
      <c r="E37">
        <v>100</v>
      </c>
      <c r="F37">
        <v>100</v>
      </c>
      <c r="G37" s="15">
        <v>97.5</v>
      </c>
      <c r="H37">
        <v>50</v>
      </c>
    </row>
    <row r="38" spans="3:8" x14ac:dyDescent="0.25">
      <c r="C38" s="15">
        <v>65.400000000000006</v>
      </c>
      <c r="D38">
        <v>60</v>
      </c>
      <c r="E38">
        <v>60</v>
      </c>
      <c r="F38">
        <v>60</v>
      </c>
      <c r="G38" s="15">
        <v>40.75</v>
      </c>
      <c r="H38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</dc:creator>
  <cp:lastModifiedBy>FLORIOS KONSTANTINOS;ΦΛΩΡΙΟΣ ΚΩΝΣΤΑΝΤΙΝΟΣ</cp:lastModifiedBy>
  <dcterms:created xsi:type="dcterms:W3CDTF">2015-06-05T18:19:34Z</dcterms:created>
  <dcterms:modified xsi:type="dcterms:W3CDTF">2025-12-11T19:17:33Z</dcterms:modified>
</cp:coreProperties>
</file>