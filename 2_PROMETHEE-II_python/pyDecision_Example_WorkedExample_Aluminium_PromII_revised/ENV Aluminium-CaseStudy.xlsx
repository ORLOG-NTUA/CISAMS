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Aluminium\"/>
    </mc:Choice>
  </mc:AlternateContent>
  <xr:revisionPtr revIDLastSave="0" documentId="13_ncr:1_{BA2415FC-97F8-41D8-8ADA-547CAC77E8E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1" l="1"/>
  <c r="AB22" i="1"/>
  <c r="AB20" i="1"/>
  <c r="AD20" i="1"/>
  <c r="AE20" i="1"/>
  <c r="AF20" i="1"/>
  <c r="AD21" i="1"/>
  <c r="AE21" i="1"/>
  <c r="AF21" i="1"/>
  <c r="AD22" i="1"/>
  <c r="AE22" i="1"/>
  <c r="AF22" i="1"/>
  <c r="AC21" i="1"/>
  <c r="AC22" i="1"/>
  <c r="AC20" i="1"/>
  <c r="AF16" i="1"/>
  <c r="AF17" i="1"/>
  <c r="AF15" i="1"/>
  <c r="AC16" i="1"/>
  <c r="AC17" i="1"/>
  <c r="AC15" i="1"/>
  <c r="AE16" i="1"/>
  <c r="AE17" i="1"/>
  <c r="AE15" i="1"/>
  <c r="AD17" i="1"/>
  <c r="AD15" i="1"/>
  <c r="AD16" i="1"/>
  <c r="AD10" i="1"/>
  <c r="AE10" i="1"/>
  <c r="AF10" i="1"/>
  <c r="AD11" i="1"/>
  <c r="AE11" i="1"/>
  <c r="AF11" i="1"/>
  <c r="AC11" i="1"/>
  <c r="AC10" i="1"/>
  <c r="W21" i="1"/>
  <c r="W22" i="1"/>
  <c r="W20" i="1"/>
  <c r="Y20" i="1"/>
  <c r="Z20" i="1"/>
  <c r="AA20" i="1"/>
  <c r="Y21" i="1"/>
  <c r="Z21" i="1"/>
  <c r="AA21" i="1"/>
  <c r="Y22" i="1"/>
  <c r="Z22" i="1"/>
  <c r="AA22" i="1"/>
  <c r="X21" i="1"/>
  <c r="X22" i="1"/>
  <c r="X20" i="1"/>
  <c r="AA16" i="1"/>
  <c r="AA17" i="1"/>
  <c r="AA15" i="1"/>
  <c r="Z16" i="1"/>
  <c r="Z17" i="1"/>
  <c r="Z15" i="1"/>
  <c r="Y16" i="1"/>
  <c r="Y17" i="1"/>
  <c r="Y15" i="1"/>
  <c r="X16" i="1"/>
  <c r="X17" i="1"/>
  <c r="X15" i="1"/>
  <c r="Y10" i="1"/>
  <c r="Z10" i="1"/>
  <c r="AA10" i="1"/>
  <c r="Y11" i="1"/>
  <c r="Z11" i="1"/>
  <c r="AA11" i="1"/>
  <c r="X11" i="1"/>
  <c r="X10" i="1"/>
  <c r="P21" i="1"/>
  <c r="P22" i="1"/>
  <c r="P20" i="1"/>
  <c r="T16" i="1"/>
  <c r="T21" i="1" s="1"/>
  <c r="T17" i="1"/>
  <c r="T22" i="1" s="1"/>
  <c r="T15" i="1"/>
  <c r="R20" i="1"/>
  <c r="S20" i="1"/>
  <c r="T20" i="1"/>
  <c r="U20" i="1"/>
  <c r="V20" i="1"/>
  <c r="R21" i="1"/>
  <c r="S21" i="1"/>
  <c r="U21" i="1"/>
  <c r="V21" i="1"/>
  <c r="R22" i="1"/>
  <c r="S22" i="1"/>
  <c r="U22" i="1"/>
  <c r="V22" i="1"/>
  <c r="Q21" i="1"/>
  <c r="Q22" i="1"/>
  <c r="Q20" i="1"/>
  <c r="V16" i="1"/>
  <c r="V17" i="1"/>
  <c r="V15" i="1"/>
  <c r="U16" i="1"/>
  <c r="U17" i="1"/>
  <c r="U15" i="1"/>
  <c r="S16" i="1"/>
  <c r="S17" i="1"/>
  <c r="S15" i="1"/>
  <c r="R16" i="1"/>
  <c r="R17" i="1"/>
  <c r="R15" i="1"/>
  <c r="Q16" i="1"/>
  <c r="Q17" i="1"/>
  <c r="Q15" i="1"/>
  <c r="R11" i="1"/>
  <c r="S11" i="1"/>
  <c r="T11" i="1"/>
  <c r="U11" i="1"/>
  <c r="V11" i="1"/>
  <c r="Q11" i="1"/>
  <c r="R10" i="1"/>
  <c r="S10" i="1"/>
  <c r="T10" i="1"/>
  <c r="U10" i="1"/>
  <c r="V10" i="1"/>
  <c r="Q10" i="1"/>
  <c r="K21" i="1"/>
  <c r="K22" i="1"/>
  <c r="K20" i="1"/>
  <c r="L22" i="1"/>
  <c r="L21" i="1"/>
  <c r="L20" i="1"/>
  <c r="L16" i="1"/>
  <c r="L17" i="1"/>
  <c r="L15" i="1"/>
  <c r="L11" i="1"/>
  <c r="L10" i="1"/>
  <c r="G20" i="1"/>
  <c r="G22" i="1"/>
  <c r="G21" i="1"/>
  <c r="J22" i="1"/>
  <c r="I22" i="1"/>
  <c r="H22" i="1"/>
  <c r="J21" i="1"/>
  <c r="I21" i="1"/>
  <c r="H21" i="1"/>
  <c r="J20" i="1"/>
  <c r="I20" i="1"/>
  <c r="H20" i="1"/>
  <c r="J16" i="1"/>
  <c r="J17" i="1"/>
  <c r="J15" i="1"/>
  <c r="I16" i="1"/>
  <c r="I17" i="1"/>
  <c r="I15" i="1"/>
  <c r="H16" i="1"/>
  <c r="H17" i="1"/>
  <c r="H15" i="1"/>
  <c r="H10" i="1"/>
  <c r="J11" i="1"/>
  <c r="I11" i="1"/>
  <c r="H11" i="1"/>
  <c r="J10" i="1"/>
  <c r="I10" i="1"/>
  <c r="C21" i="1" l="1"/>
  <c r="C22" i="1"/>
  <c r="C20" i="1"/>
  <c r="E20" i="1"/>
  <c r="F20" i="1"/>
  <c r="E21" i="1"/>
  <c r="F21" i="1"/>
  <c r="E22" i="1"/>
  <c r="F22" i="1"/>
  <c r="D21" i="1"/>
  <c r="D22" i="1"/>
  <c r="D20" i="1"/>
  <c r="F16" i="1"/>
  <c r="F17" i="1"/>
  <c r="F15" i="1"/>
  <c r="E16" i="1"/>
  <c r="E17" i="1"/>
  <c r="E15" i="1"/>
  <c r="D16" i="1"/>
  <c r="D17" i="1"/>
  <c r="D15" i="1"/>
  <c r="E11" i="1"/>
  <c r="F11" i="1"/>
  <c r="D11" i="1"/>
  <c r="E10" i="1"/>
  <c r="F10" i="1"/>
  <c r="D10" i="1"/>
</calcChain>
</file>

<file path=xl/sharedStrings.xml><?xml version="1.0" encoding="utf-8"?>
<sst xmlns="http://schemas.openxmlformats.org/spreadsheetml/2006/main" count="92" uniqueCount="52">
  <si>
    <t>Air Pollutant Emissions</t>
  </si>
  <si>
    <t>E1</t>
  </si>
  <si>
    <t>A1</t>
  </si>
  <si>
    <t>A2</t>
  </si>
  <si>
    <t>A3</t>
  </si>
  <si>
    <t>min</t>
  </si>
  <si>
    <t>max</t>
  </si>
  <si>
    <t>MIN</t>
  </si>
  <si>
    <t>J11</t>
  </si>
  <si>
    <t>J12</t>
  </si>
  <si>
    <t>J13</t>
  </si>
  <si>
    <t>MAX</t>
  </si>
  <si>
    <t>Atmospheric Impact</t>
  </si>
  <si>
    <t>E2</t>
  </si>
  <si>
    <t>J21</t>
  </si>
  <si>
    <t>J22</t>
  </si>
  <si>
    <t>J23</t>
  </si>
  <si>
    <t>Climate Change</t>
  </si>
  <si>
    <t>E3</t>
  </si>
  <si>
    <t>J31</t>
  </si>
  <si>
    <t>Environmental - Economic Trade-Off Metrics</t>
  </si>
  <si>
    <t>E4</t>
  </si>
  <si>
    <r>
      <t>Packaging</t>
    </r>
    <r>
      <rPr>
        <sz val="11"/>
        <color rgb="FF202124"/>
        <rFont val="Roboto"/>
      </rPr>
      <t> </t>
    </r>
  </si>
  <si>
    <t>E5</t>
  </si>
  <si>
    <t>Material Sustainability</t>
  </si>
  <si>
    <t>E6</t>
  </si>
  <si>
    <t>Resource Use, Scarcity &amp; Depletion</t>
  </si>
  <si>
    <t>E7</t>
  </si>
  <si>
    <t>J71</t>
  </si>
  <si>
    <t>J72</t>
  </si>
  <si>
    <t>J73</t>
  </si>
  <si>
    <t>J74</t>
  </si>
  <si>
    <t>J75</t>
  </si>
  <si>
    <t>J76</t>
  </si>
  <si>
    <t>Toxicity &amp; Eutrophication</t>
  </si>
  <si>
    <t>E8</t>
  </si>
  <si>
    <t>J81</t>
  </si>
  <si>
    <t>J82</t>
  </si>
  <si>
    <t>J83</t>
  </si>
  <si>
    <t>J84</t>
  </si>
  <si>
    <t>Water Management</t>
  </si>
  <si>
    <t>E9</t>
  </si>
  <si>
    <t>J91</t>
  </si>
  <si>
    <t>J92</t>
  </si>
  <si>
    <t>J93</t>
  </si>
  <si>
    <t>J94</t>
  </si>
  <si>
    <t>W1</t>
  </si>
  <si>
    <t>W2</t>
  </si>
  <si>
    <t>W3</t>
  </si>
  <si>
    <t>W7</t>
  </si>
  <si>
    <t>W8</t>
  </si>
  <si>
    <t>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</si>
</sst>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02124"/>
      <name val="Roboto"/>
    </font>
    <font>
      <b/>
      <sz val="11"/>
      <color theme="1"/>
      <name val="Calibri"/>
      <family val="2"/>
      <scheme val="minor"/>
    </font>
    <font>
      <sz val="11"/>
      <color rgb="FF202124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11" fontId="0" fillId="0" borderId="0" xfId="0" applyNumberFormat="1"/>
    <xf numFmtId="0" fontId="2" fillId="2" borderId="0" xfId="0" applyFont="1" applyFill="1"/>
    <xf numFmtId="0" fontId="1" fillId="4" borderId="0" xfId="0" applyFont="1" applyFill="1"/>
    <xf numFmtId="0" fontId="0" fillId="4" borderId="0" xfId="0" applyFill="1"/>
    <xf numFmtId="2" fontId="0" fillId="0" borderId="0" xfId="0" applyNumberFormat="1"/>
    <xf numFmtId="0" fontId="0" fillId="3" borderId="0" xfId="0" applyFill="1"/>
    <xf numFmtId="1" fontId="0" fillId="2" borderId="0" xfId="0" applyNumberFormat="1" applyFill="1"/>
    <xf numFmtId="0" fontId="0" fillId="0" borderId="0" xfId="0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topLeftCell="P1" zoomScale="80" zoomScaleNormal="80" workbookViewId="0">
      <selection activeCell="AB20" sqref="AB20:AB22"/>
    </sheetView>
  </sheetViews>
  <sheetFormatPr defaultRowHeight="15" x14ac:dyDescent="0.25"/>
  <cols>
    <col min="3" max="3" width="24" bestFit="1" customWidth="1"/>
    <col min="7" max="7" width="20.85546875" bestFit="1" customWidth="1"/>
    <col min="11" max="11" width="15" bestFit="1" customWidth="1"/>
    <col min="13" max="13" width="45.140625" bestFit="1" customWidth="1"/>
    <col min="14" max="14" width="11.85546875" bestFit="1" customWidth="1"/>
    <col min="15" max="15" width="23.140625" bestFit="1" customWidth="1"/>
    <col min="16" max="16" width="36" bestFit="1" customWidth="1"/>
    <col min="23" max="23" width="25.85546875" bestFit="1" customWidth="1"/>
    <col min="28" max="28" width="20.140625" bestFit="1" customWidth="1"/>
  </cols>
  <sheetData>
    <row r="1" spans="1:32" x14ac:dyDescent="0.25">
      <c r="C1" s="1" t="s">
        <v>0</v>
      </c>
      <c r="G1" s="1" t="s">
        <v>12</v>
      </c>
      <c r="K1" s="4" t="s">
        <v>17</v>
      </c>
      <c r="M1" s="5" t="s">
        <v>20</v>
      </c>
      <c r="N1" s="5" t="s">
        <v>22</v>
      </c>
      <c r="O1" s="5" t="s">
        <v>24</v>
      </c>
      <c r="P1" s="1" t="s">
        <v>26</v>
      </c>
      <c r="W1" s="1" t="s">
        <v>34</v>
      </c>
      <c r="AB1" s="1" t="s">
        <v>40</v>
      </c>
    </row>
    <row r="2" spans="1:32" x14ac:dyDescent="0.25">
      <c r="C2" s="2" t="s">
        <v>1</v>
      </c>
      <c r="G2" s="2" t="s">
        <v>13</v>
      </c>
      <c r="K2" s="4" t="s">
        <v>18</v>
      </c>
      <c r="M2" s="6" t="s">
        <v>21</v>
      </c>
      <c r="N2" s="6" t="s">
        <v>23</v>
      </c>
      <c r="O2" s="6" t="s">
        <v>25</v>
      </c>
      <c r="P2" s="2" t="s">
        <v>27</v>
      </c>
      <c r="W2" s="2" t="s">
        <v>35</v>
      </c>
      <c r="AB2" s="2" t="s">
        <v>41</v>
      </c>
    </row>
    <row r="3" spans="1:32" x14ac:dyDescent="0.25">
      <c r="D3" t="s">
        <v>7</v>
      </c>
      <c r="E3" t="s">
        <v>7</v>
      </c>
      <c r="F3" t="s">
        <v>7</v>
      </c>
      <c r="H3" t="s">
        <v>7</v>
      </c>
      <c r="I3" t="s">
        <v>7</v>
      </c>
      <c r="J3" t="s">
        <v>7</v>
      </c>
      <c r="L3" t="s">
        <v>7</v>
      </c>
      <c r="Q3" t="s">
        <v>7</v>
      </c>
      <c r="R3" t="s">
        <v>7</v>
      </c>
      <c r="S3" t="s">
        <v>7</v>
      </c>
      <c r="T3" t="s">
        <v>11</v>
      </c>
      <c r="U3" t="s">
        <v>7</v>
      </c>
      <c r="V3" t="s">
        <v>7</v>
      </c>
      <c r="X3" t="s">
        <v>7</v>
      </c>
      <c r="Y3" t="s">
        <v>7</v>
      </c>
      <c r="Z3" t="s">
        <v>7</v>
      </c>
      <c r="AA3" t="s">
        <v>7</v>
      </c>
      <c r="AC3" t="s">
        <v>7</v>
      </c>
      <c r="AD3" t="s">
        <v>11</v>
      </c>
      <c r="AE3" t="s">
        <v>11</v>
      </c>
      <c r="AF3" t="s">
        <v>7</v>
      </c>
    </row>
    <row r="4" spans="1:32" x14ac:dyDescent="0.25">
      <c r="D4" t="s">
        <v>8</v>
      </c>
      <c r="E4" t="s">
        <v>9</v>
      </c>
      <c r="F4" t="s">
        <v>10</v>
      </c>
      <c r="H4" t="s">
        <v>14</v>
      </c>
      <c r="I4" t="s">
        <v>15</v>
      </c>
      <c r="J4" t="s">
        <v>16</v>
      </c>
      <c r="L4" t="s">
        <v>19</v>
      </c>
      <c r="Q4" t="s">
        <v>28</v>
      </c>
      <c r="R4" t="s">
        <v>29</v>
      </c>
      <c r="S4" t="s">
        <v>30</v>
      </c>
      <c r="T4" t="s">
        <v>31</v>
      </c>
      <c r="U4" t="s">
        <v>32</v>
      </c>
      <c r="V4" t="s">
        <v>33</v>
      </c>
      <c r="X4" t="s">
        <v>36</v>
      </c>
      <c r="Y4" t="s">
        <v>37</v>
      </c>
      <c r="Z4" t="s">
        <v>38</v>
      </c>
      <c r="AA4" t="s">
        <v>39</v>
      </c>
      <c r="AC4" t="s">
        <v>42</v>
      </c>
      <c r="AD4" t="s">
        <v>43</v>
      </c>
      <c r="AE4" t="s">
        <v>44</v>
      </c>
      <c r="AF4" t="s">
        <v>45</v>
      </c>
    </row>
    <row r="5" spans="1:32" x14ac:dyDescent="0.25">
      <c r="A5" t="s">
        <v>2</v>
      </c>
      <c r="D5">
        <v>2.0249999999999999</v>
      </c>
      <c r="E5">
        <v>2.21</v>
      </c>
      <c r="F5">
        <v>1.7749999999999999</v>
      </c>
      <c r="H5">
        <v>4.9000000000000002E-8</v>
      </c>
      <c r="I5">
        <v>2.9</v>
      </c>
      <c r="J5">
        <v>56</v>
      </c>
      <c r="L5">
        <v>9000</v>
      </c>
      <c r="Q5">
        <v>3.0999999999999999E-3</v>
      </c>
      <c r="R5">
        <v>120000</v>
      </c>
      <c r="S5">
        <v>5.93</v>
      </c>
      <c r="T5">
        <v>0.30599999999999999</v>
      </c>
      <c r="U5">
        <v>170000</v>
      </c>
      <c r="V5">
        <v>3.04</v>
      </c>
      <c r="X5">
        <v>41.7</v>
      </c>
      <c r="Y5">
        <v>14319</v>
      </c>
      <c r="Z5">
        <v>5906.3</v>
      </c>
      <c r="AA5" s="10">
        <v>3.1</v>
      </c>
      <c r="AC5">
        <v>0.28109000000000001</v>
      </c>
      <c r="AD5">
        <v>3.5</v>
      </c>
      <c r="AE5">
        <v>23.31</v>
      </c>
      <c r="AF5">
        <v>33.299999999999997</v>
      </c>
    </row>
    <row r="6" spans="1:32" x14ac:dyDescent="0.25">
      <c r="A6" t="s">
        <v>3</v>
      </c>
      <c r="D6">
        <v>0.77200000000000002</v>
      </c>
      <c r="E6">
        <v>3.1300000000000001E-2</v>
      </c>
      <c r="F6">
        <v>8.6099999999999996E-2</v>
      </c>
      <c r="H6">
        <v>8.7999999999999996E-10</v>
      </c>
      <c r="I6">
        <v>5.8999999999999997E-2</v>
      </c>
      <c r="J6">
        <v>1.25</v>
      </c>
      <c r="L6">
        <v>565.91999999999996</v>
      </c>
      <c r="Q6">
        <v>1.6999999999999999E-3</v>
      </c>
      <c r="R6">
        <v>5238.2</v>
      </c>
      <c r="S6">
        <v>1.0900000000000001</v>
      </c>
      <c r="T6">
        <v>8.8900000000000007E-2</v>
      </c>
      <c r="U6">
        <v>5738.2</v>
      </c>
      <c r="V6">
        <v>0</v>
      </c>
      <c r="X6">
        <v>2.8</v>
      </c>
      <c r="Y6">
        <v>1591</v>
      </c>
      <c r="Z6">
        <v>656</v>
      </c>
      <c r="AA6">
        <v>0.159</v>
      </c>
      <c r="AC6">
        <v>0</v>
      </c>
      <c r="AD6">
        <v>0.6</v>
      </c>
      <c r="AE6">
        <v>1.71</v>
      </c>
      <c r="AF6">
        <v>2.7437999999999998</v>
      </c>
    </row>
    <row r="7" spans="1:32" x14ac:dyDescent="0.25">
      <c r="A7" t="s">
        <v>4</v>
      </c>
      <c r="D7">
        <v>1.27</v>
      </c>
      <c r="E7">
        <v>0.9</v>
      </c>
      <c r="F7">
        <v>0.76</v>
      </c>
      <c r="H7" s="3">
        <v>2.0100000000000001E-8</v>
      </c>
      <c r="I7">
        <v>1.2</v>
      </c>
      <c r="J7">
        <v>23.15</v>
      </c>
      <c r="L7">
        <v>3939.55</v>
      </c>
      <c r="Q7">
        <v>2.2000000000000001E-3</v>
      </c>
      <c r="R7" s="7">
        <v>51142.92</v>
      </c>
      <c r="S7" s="7">
        <v>3.0259999999999998</v>
      </c>
      <c r="T7" s="8">
        <v>0.2954</v>
      </c>
      <c r="U7">
        <v>71442.92</v>
      </c>
      <c r="V7">
        <v>1.216</v>
      </c>
      <c r="X7">
        <v>18.36</v>
      </c>
      <c r="Y7">
        <v>6682.2000000000007</v>
      </c>
      <c r="Z7">
        <v>2756.12</v>
      </c>
      <c r="AA7">
        <v>1.3354000000000001</v>
      </c>
      <c r="AC7">
        <v>0.11</v>
      </c>
      <c r="AD7">
        <v>1.76</v>
      </c>
      <c r="AE7">
        <v>10.35</v>
      </c>
      <c r="AF7">
        <v>14.97</v>
      </c>
    </row>
    <row r="10" spans="1:32" x14ac:dyDescent="0.25">
      <c r="A10" t="s">
        <v>5</v>
      </c>
      <c r="D10">
        <f>MIN(D5:D7)</f>
        <v>0.77200000000000002</v>
      </c>
      <c r="E10">
        <f t="shared" ref="E10:F10" si="0">MIN(E5:E7)</f>
        <v>3.1300000000000001E-2</v>
      </c>
      <c r="F10">
        <f t="shared" si="0"/>
        <v>8.6099999999999996E-2</v>
      </c>
      <c r="H10">
        <f>MIN(H5:H7)</f>
        <v>8.7999999999999996E-10</v>
      </c>
      <c r="I10">
        <f t="shared" ref="I10:J10" si="1">MIN(I5:I7)</f>
        <v>5.8999999999999997E-2</v>
      </c>
      <c r="J10">
        <f t="shared" si="1"/>
        <v>1.25</v>
      </c>
      <c r="L10">
        <f>MIN(L5:L7)</f>
        <v>565.91999999999996</v>
      </c>
      <c r="Q10">
        <f>MIN(Q5:Q7)</f>
        <v>1.6999999999999999E-3</v>
      </c>
      <c r="R10">
        <f t="shared" ref="R10:V10" si="2">MIN(R5:R7)</f>
        <v>5238.2</v>
      </c>
      <c r="S10">
        <f t="shared" si="2"/>
        <v>1.0900000000000001</v>
      </c>
      <c r="T10">
        <f t="shared" si="2"/>
        <v>8.8900000000000007E-2</v>
      </c>
      <c r="U10">
        <f t="shared" si="2"/>
        <v>5738.2</v>
      </c>
      <c r="V10">
        <f t="shared" si="2"/>
        <v>0</v>
      </c>
      <c r="X10">
        <f>MIN(X5:X7)</f>
        <v>2.8</v>
      </c>
      <c r="Y10">
        <f t="shared" ref="Y10:AA10" si="3">MIN(Y5:Y7)</f>
        <v>1591</v>
      </c>
      <c r="Z10">
        <f t="shared" si="3"/>
        <v>656</v>
      </c>
      <c r="AA10">
        <f t="shared" si="3"/>
        <v>0.159</v>
      </c>
      <c r="AC10">
        <f>MIN(AC5:AC7)</f>
        <v>0</v>
      </c>
      <c r="AD10">
        <f t="shared" ref="AD10:AF10" si="4">MIN(AD5:AD7)</f>
        <v>0.6</v>
      </c>
      <c r="AE10">
        <f t="shared" si="4"/>
        <v>1.71</v>
      </c>
      <c r="AF10">
        <f t="shared" si="4"/>
        <v>2.7437999999999998</v>
      </c>
    </row>
    <row r="11" spans="1:32" x14ac:dyDescent="0.25">
      <c r="A11" t="s">
        <v>6</v>
      </c>
      <c r="D11">
        <f>MAX(D5:D7)</f>
        <v>2.0249999999999999</v>
      </c>
      <c r="E11">
        <f t="shared" ref="E11:F11" si="5">MAX(E5:E7)</f>
        <v>2.21</v>
      </c>
      <c r="F11">
        <f t="shared" si="5"/>
        <v>1.7749999999999999</v>
      </c>
      <c r="H11">
        <f>MAX(H5:H7)</f>
        <v>4.9000000000000002E-8</v>
      </c>
      <c r="I11">
        <f t="shared" ref="I11:J11" si="6">MAX(I5:I7)</f>
        <v>2.9</v>
      </c>
      <c r="J11">
        <f t="shared" si="6"/>
        <v>56</v>
      </c>
      <c r="L11">
        <f>MAX(L5:L7)</f>
        <v>9000</v>
      </c>
      <c r="Q11">
        <f>MAX(Q5:Q7)</f>
        <v>3.0999999999999999E-3</v>
      </c>
      <c r="R11">
        <f t="shared" ref="R11:V11" si="7">MAX(R5:R7)</f>
        <v>120000</v>
      </c>
      <c r="S11">
        <f t="shared" si="7"/>
        <v>5.93</v>
      </c>
      <c r="T11">
        <f t="shared" si="7"/>
        <v>0.30599999999999999</v>
      </c>
      <c r="U11">
        <f t="shared" si="7"/>
        <v>170000</v>
      </c>
      <c r="V11">
        <f t="shared" si="7"/>
        <v>3.04</v>
      </c>
      <c r="X11">
        <f>MAX(X5:X7)</f>
        <v>41.7</v>
      </c>
      <c r="Y11">
        <f t="shared" ref="Y11:AA11" si="8">MAX(Y5:Y7)</f>
        <v>14319</v>
      </c>
      <c r="Z11">
        <f t="shared" si="8"/>
        <v>5906.3</v>
      </c>
      <c r="AA11">
        <f t="shared" si="8"/>
        <v>3.1</v>
      </c>
      <c r="AC11">
        <f>MAX(AC5:AC7)</f>
        <v>0.28109000000000001</v>
      </c>
      <c r="AD11">
        <f t="shared" ref="AD11:AF11" si="9">MAX(AD5:AD7)</f>
        <v>3.5</v>
      </c>
      <c r="AE11">
        <f t="shared" si="9"/>
        <v>23.31</v>
      </c>
      <c r="AF11">
        <f t="shared" si="9"/>
        <v>33.299999999999997</v>
      </c>
    </row>
    <row r="14" spans="1:32" x14ac:dyDescent="0.25">
      <c r="D14" t="s">
        <v>11</v>
      </c>
      <c r="E14" t="s">
        <v>11</v>
      </c>
      <c r="F14" t="s">
        <v>11</v>
      </c>
      <c r="H14" t="s">
        <v>11</v>
      </c>
      <c r="I14" t="s">
        <v>11</v>
      </c>
      <c r="J14" t="s">
        <v>11</v>
      </c>
      <c r="L14" t="s">
        <v>11</v>
      </c>
      <c r="Q14" t="s">
        <v>11</v>
      </c>
      <c r="R14" t="s">
        <v>11</v>
      </c>
      <c r="S14" t="s">
        <v>11</v>
      </c>
      <c r="T14" t="s">
        <v>11</v>
      </c>
      <c r="U14" t="s">
        <v>11</v>
      </c>
      <c r="V14" t="s">
        <v>11</v>
      </c>
      <c r="X14" t="s">
        <v>11</v>
      </c>
      <c r="Y14" t="s">
        <v>11</v>
      </c>
      <c r="Z14" t="s">
        <v>11</v>
      </c>
      <c r="AA14" t="s">
        <v>11</v>
      </c>
      <c r="AC14" t="s">
        <v>11</v>
      </c>
      <c r="AD14" t="s">
        <v>11</v>
      </c>
      <c r="AE14" t="s">
        <v>11</v>
      </c>
      <c r="AF14" t="s">
        <v>11</v>
      </c>
    </row>
    <row r="15" spans="1:32" x14ac:dyDescent="0.25">
      <c r="D15">
        <f>($D$11-D5)/($D$11-$D$10)</f>
        <v>0</v>
      </c>
      <c r="E15">
        <f>($E$11-E5)/($E$11-$E$10)</f>
        <v>0</v>
      </c>
      <c r="F15">
        <f>($F$11-F5)/($F$11-$F$10)</f>
        <v>0</v>
      </c>
      <c r="H15">
        <f>($H$11-H5)/($H$11-$H$10)</f>
        <v>0</v>
      </c>
      <c r="I15">
        <f>($I$11-I5)/($I$11-$I$10)</f>
        <v>0</v>
      </c>
      <c r="J15">
        <f>($J$11-J5)/($J$11-$J$10)</f>
        <v>0</v>
      </c>
      <c r="L15">
        <f>($L$11-L5)/($L$11-$L$10)</f>
        <v>0</v>
      </c>
      <c r="Q15">
        <f>($Q$11-Q5)/($Q$11-$Q$10)</f>
        <v>0</v>
      </c>
      <c r="R15">
        <f>($R$11-R5)/($R$11-$R$10)</f>
        <v>0</v>
      </c>
      <c r="S15">
        <f>($S$11-S5)/($S$11-$S$10)</f>
        <v>0</v>
      </c>
      <c r="T15">
        <f>(T5-$T$10)/($T$11-$T$10)</f>
        <v>1</v>
      </c>
      <c r="U15">
        <f>($U$11-U5)/($U$11-$U$10)</f>
        <v>0</v>
      </c>
      <c r="V15">
        <f>($V$11-V5)/($V$11-$V$10)</f>
        <v>0</v>
      </c>
      <c r="X15">
        <f>($X$11-X5)/($X$11-$X$10)</f>
        <v>0</v>
      </c>
      <c r="Y15">
        <f>($Y$11-Y5)/($Y$11-$Y$10)</f>
        <v>0</v>
      </c>
      <c r="Z15">
        <f>($Z$11-Z5)/($Z$11-$Z$10)</f>
        <v>0</v>
      </c>
      <c r="AA15">
        <f>($AA$11-AA5)/($AA$11-$AA$10)</f>
        <v>0</v>
      </c>
      <c r="AC15">
        <f>($AC$11-AC5)/($AC$11-$AC$10)</f>
        <v>0</v>
      </c>
      <c r="AD15">
        <f>(AD5-$AD$10)/($AD$11-$AD$10)</f>
        <v>1</v>
      </c>
      <c r="AE15">
        <f>(AE5-$AE$10)/($AE$11-$AE$10)</f>
        <v>1</v>
      </c>
      <c r="AF15">
        <f>($AF$11-AF5)/($AF$11-$AF$10)</f>
        <v>0</v>
      </c>
    </row>
    <row r="16" spans="1:32" x14ac:dyDescent="0.25">
      <c r="D16">
        <f t="shared" ref="D16:D17" si="10">($D$11-D6)/($D$11-$D$10)</f>
        <v>1</v>
      </c>
      <c r="E16">
        <f t="shared" ref="E16:E17" si="11">($E$11-E6)/($E$11-$E$10)</f>
        <v>1</v>
      </c>
      <c r="F16">
        <f t="shared" ref="F16:F17" si="12">($F$11-F6)/($F$11-$F$10)</f>
        <v>1</v>
      </c>
      <c r="H16">
        <f t="shared" ref="H16:H17" si="13">($H$11-H6)/($H$11-$H$10)</f>
        <v>1</v>
      </c>
      <c r="I16">
        <f t="shared" ref="I16:I17" si="14">($I$11-I6)/($I$11-$I$10)</f>
        <v>1</v>
      </c>
      <c r="J16">
        <f t="shared" ref="J16:J17" si="15">($J$11-J6)/($J$11-$J$10)</f>
        <v>1</v>
      </c>
      <c r="L16">
        <f t="shared" ref="L16:L17" si="16">($L$11-L6)/($L$11-$L$10)</f>
        <v>1</v>
      </c>
      <c r="Q16">
        <f t="shared" ref="Q16:Q17" si="17">($Q$11-Q6)/($Q$11-$Q$10)</f>
        <v>1</v>
      </c>
      <c r="R16">
        <f t="shared" ref="R16:R17" si="18">($R$11-R6)/($R$11-$R$10)</f>
        <v>1</v>
      </c>
      <c r="S16">
        <f t="shared" ref="S16:S17" si="19">($S$11-S6)/($S$11-$S$10)</f>
        <v>1</v>
      </c>
      <c r="T16">
        <f t="shared" ref="T16:T17" si="20">(T6-$T$10)/($T$11-$T$10)</f>
        <v>0</v>
      </c>
      <c r="U16">
        <f t="shared" ref="U16:U17" si="21">($U$11-U6)/($U$11-$U$10)</f>
        <v>1</v>
      </c>
      <c r="V16">
        <f t="shared" ref="V16:V17" si="22">($V$11-V6)/($V$11-$V$10)</f>
        <v>1</v>
      </c>
      <c r="X16">
        <f t="shared" ref="X16:X17" si="23">($X$11-X6)/($X$11-$X$10)</f>
        <v>1</v>
      </c>
      <c r="Y16">
        <f t="shared" ref="Y16:Y17" si="24">($Y$11-Y6)/($Y$11-$Y$10)</f>
        <v>1</v>
      </c>
      <c r="Z16">
        <f t="shared" ref="Z16:Z17" si="25">($Z$11-Z6)/($Z$11-$Z$10)</f>
        <v>1</v>
      </c>
      <c r="AA16">
        <f t="shared" ref="AA16:AA17" si="26">($AA$11-AA6)/($AA$11-$AA$10)</f>
        <v>1</v>
      </c>
      <c r="AC16">
        <f t="shared" ref="AC16:AC17" si="27">($AC$11-AC6)/($AC$11-$AC$10)</f>
        <v>1</v>
      </c>
      <c r="AD16">
        <f t="shared" ref="AD16" si="28">(AD6-$AD$10)/($AD$11-$AD$10)</f>
        <v>0</v>
      </c>
      <c r="AE16">
        <f t="shared" ref="AE16:AE17" si="29">(AE6-$AE$10)/($AE$11-$AE$10)</f>
        <v>0</v>
      </c>
      <c r="AF16">
        <f t="shared" ref="AF16:AF17" si="30">($AF$11-AF6)/($AF$11-$AF$10)</f>
        <v>1</v>
      </c>
    </row>
    <row r="17" spans="3:32" x14ac:dyDescent="0.25">
      <c r="D17">
        <f t="shared" si="10"/>
        <v>0.6025538707102952</v>
      </c>
      <c r="E17">
        <f t="shared" si="11"/>
        <v>0.60127599026942669</v>
      </c>
      <c r="F17">
        <f t="shared" si="12"/>
        <v>0.60098288827047186</v>
      </c>
      <c r="H17">
        <f t="shared" si="13"/>
        <v>0.60058187863674151</v>
      </c>
      <c r="I17">
        <f t="shared" si="14"/>
        <v>0.59838085181274203</v>
      </c>
      <c r="J17">
        <f t="shared" si="15"/>
        <v>0.6</v>
      </c>
      <c r="L17">
        <f t="shared" si="16"/>
        <v>0.60000023713315498</v>
      </c>
      <c r="Q17">
        <f t="shared" si="17"/>
        <v>0.64285714285714268</v>
      </c>
      <c r="R17">
        <f t="shared" si="18"/>
        <v>0.6</v>
      </c>
      <c r="S17">
        <f t="shared" si="19"/>
        <v>0.6</v>
      </c>
      <c r="T17">
        <f t="shared" si="20"/>
        <v>0.9511745739290649</v>
      </c>
      <c r="U17">
        <f t="shared" si="21"/>
        <v>0.60000000000000009</v>
      </c>
      <c r="V17">
        <f t="shared" si="22"/>
        <v>0.6</v>
      </c>
      <c r="X17">
        <f t="shared" si="23"/>
        <v>0.6</v>
      </c>
      <c r="Y17">
        <f t="shared" si="24"/>
        <v>0.6</v>
      </c>
      <c r="Z17">
        <f t="shared" si="25"/>
        <v>0.60000000000000009</v>
      </c>
      <c r="AA17">
        <f t="shared" si="26"/>
        <v>0.6</v>
      </c>
      <c r="AC17">
        <f t="shared" si="27"/>
        <v>0.60866626347433217</v>
      </c>
      <c r="AD17">
        <f>(AD7-$AD$10)/($AD$11-$AD$10)</f>
        <v>0.40000000000000008</v>
      </c>
      <c r="AE17">
        <f t="shared" si="29"/>
        <v>0.40000000000000008</v>
      </c>
      <c r="AF17">
        <f t="shared" si="30"/>
        <v>0.5998782571131227</v>
      </c>
    </row>
    <row r="20" spans="3:32" x14ac:dyDescent="0.25">
      <c r="C20" s="2">
        <f>AVERAGE(D20:F20)</f>
        <v>0</v>
      </c>
      <c r="D20">
        <f>100*ROUND(D15,2)</f>
        <v>0</v>
      </c>
      <c r="E20">
        <f t="shared" ref="E20:F20" si="31">100*ROUND(E15,2)</f>
        <v>0</v>
      </c>
      <c r="F20">
        <f t="shared" si="31"/>
        <v>0</v>
      </c>
      <c r="G20" s="2">
        <f>AVERAGE(H20:J20)</f>
        <v>0</v>
      </c>
      <c r="H20">
        <f>100*ROUND(H15,2)</f>
        <v>0</v>
      </c>
      <c r="I20">
        <f t="shared" ref="I20:J20" si="32">100*ROUND(I15,2)</f>
        <v>0</v>
      </c>
      <c r="J20">
        <f t="shared" si="32"/>
        <v>0</v>
      </c>
      <c r="K20" s="2">
        <f>AVERAGE(L20)</f>
        <v>0</v>
      </c>
      <c r="L20">
        <f>100*ROUND(L15,2)</f>
        <v>0</v>
      </c>
      <c r="P20" s="9">
        <f>AVERAGE(Q20:V20)</f>
        <v>16.666666666666668</v>
      </c>
      <c r="Q20">
        <f>100*ROUND(Q15,2)</f>
        <v>0</v>
      </c>
      <c r="R20">
        <f t="shared" ref="R20:V20" si="33">100*ROUND(R15,2)</f>
        <v>0</v>
      </c>
      <c r="S20">
        <f t="shared" si="33"/>
        <v>0</v>
      </c>
      <c r="T20">
        <f t="shared" si="33"/>
        <v>100</v>
      </c>
      <c r="U20">
        <f t="shared" si="33"/>
        <v>0</v>
      </c>
      <c r="V20">
        <f t="shared" si="33"/>
        <v>0</v>
      </c>
      <c r="W20" s="2">
        <f>AVERAGE(X20:AA20)</f>
        <v>0</v>
      </c>
      <c r="X20">
        <f>100*ROUND(X15,2)</f>
        <v>0</v>
      </c>
      <c r="Y20">
        <f t="shared" ref="Y20:AA20" si="34">100*ROUND(Y15,2)</f>
        <v>0</v>
      </c>
      <c r="Z20">
        <f t="shared" si="34"/>
        <v>0</v>
      </c>
      <c r="AA20">
        <f t="shared" si="34"/>
        <v>0</v>
      </c>
      <c r="AB20" s="9">
        <f>AVERAGE(AC20:AF20)</f>
        <v>50</v>
      </c>
      <c r="AC20">
        <f>100*ROUND(AC15,2)</f>
        <v>0</v>
      </c>
      <c r="AD20">
        <f t="shared" ref="AD20:AF20" si="35">100*ROUND(AD15,2)</f>
        <v>100</v>
      </c>
      <c r="AE20">
        <f t="shared" si="35"/>
        <v>100</v>
      </c>
      <c r="AF20">
        <f t="shared" si="35"/>
        <v>0</v>
      </c>
    </row>
    <row r="21" spans="3:32" x14ac:dyDescent="0.25">
      <c r="C21" s="2">
        <f t="shared" ref="C21:C22" si="36">AVERAGE(D21:F21)</f>
        <v>100</v>
      </c>
      <c r="D21">
        <f t="shared" ref="D21:F22" si="37">100*ROUND(D16,2)</f>
        <v>100</v>
      </c>
      <c r="E21">
        <f t="shared" si="37"/>
        <v>100</v>
      </c>
      <c r="F21">
        <f t="shared" si="37"/>
        <v>100</v>
      </c>
      <c r="G21" s="2">
        <f t="shared" ref="G21:G22" si="38">AVERAGE(H21:J21)</f>
        <v>100</v>
      </c>
      <c r="H21">
        <f t="shared" ref="H21:J21" si="39">100*ROUND(H16,2)</f>
        <v>100</v>
      </c>
      <c r="I21">
        <f t="shared" si="39"/>
        <v>100</v>
      </c>
      <c r="J21">
        <f t="shared" si="39"/>
        <v>100</v>
      </c>
      <c r="K21" s="2">
        <f t="shared" ref="K21:K22" si="40">AVERAGE(L21)</f>
        <v>100</v>
      </c>
      <c r="L21">
        <f t="shared" ref="L21" si="41">100*ROUND(L16,2)</f>
        <v>100</v>
      </c>
      <c r="P21" s="9">
        <f t="shared" ref="P21:P22" si="42">AVERAGE(Q21:V21)</f>
        <v>83.333333333333329</v>
      </c>
      <c r="Q21">
        <f t="shared" ref="Q21:V22" si="43">100*ROUND(Q16,2)</f>
        <v>100</v>
      </c>
      <c r="R21">
        <f t="shared" si="43"/>
        <v>100</v>
      </c>
      <c r="S21">
        <f t="shared" si="43"/>
        <v>100</v>
      </c>
      <c r="T21">
        <f t="shared" si="43"/>
        <v>0</v>
      </c>
      <c r="U21">
        <f t="shared" si="43"/>
        <v>100</v>
      </c>
      <c r="V21">
        <f t="shared" si="43"/>
        <v>100</v>
      </c>
      <c r="W21" s="2">
        <f t="shared" ref="W21:W22" si="44">AVERAGE(X21:AA21)</f>
        <v>100</v>
      </c>
      <c r="X21">
        <f t="shared" ref="X21:AA22" si="45">100*ROUND(X16,2)</f>
        <v>100</v>
      </c>
      <c r="Y21">
        <f t="shared" si="45"/>
        <v>100</v>
      </c>
      <c r="Z21">
        <f t="shared" si="45"/>
        <v>100</v>
      </c>
      <c r="AA21">
        <f t="shared" si="45"/>
        <v>100</v>
      </c>
      <c r="AB21" s="9">
        <f t="shared" ref="AB21:AB22" si="46">AVERAGE(AC21:AF21)</f>
        <v>50</v>
      </c>
      <c r="AC21">
        <f t="shared" ref="AC21:AF22" si="47">100*ROUND(AC16,2)</f>
        <v>100</v>
      </c>
      <c r="AD21">
        <f t="shared" si="47"/>
        <v>0</v>
      </c>
      <c r="AE21">
        <f t="shared" si="47"/>
        <v>0</v>
      </c>
      <c r="AF21">
        <f t="shared" si="47"/>
        <v>100</v>
      </c>
    </row>
    <row r="22" spans="3:32" x14ac:dyDescent="0.25">
      <c r="C22" s="2">
        <f t="shared" si="36"/>
        <v>60</v>
      </c>
      <c r="D22">
        <f t="shared" si="37"/>
        <v>60</v>
      </c>
      <c r="E22">
        <f t="shared" si="37"/>
        <v>60</v>
      </c>
      <c r="F22">
        <f t="shared" si="37"/>
        <v>60</v>
      </c>
      <c r="G22" s="2">
        <f t="shared" si="38"/>
        <v>60</v>
      </c>
      <c r="H22">
        <f t="shared" ref="H22:J22" si="48">100*ROUND(H17,2)</f>
        <v>60</v>
      </c>
      <c r="I22">
        <f t="shared" si="48"/>
        <v>60</v>
      </c>
      <c r="J22">
        <f t="shared" si="48"/>
        <v>60</v>
      </c>
      <c r="K22" s="2">
        <f t="shared" si="40"/>
        <v>60</v>
      </c>
      <c r="L22">
        <f t="shared" ref="L22" si="49">100*ROUND(L17,2)</f>
        <v>60</v>
      </c>
      <c r="P22" s="9">
        <f t="shared" si="42"/>
        <v>66.5</v>
      </c>
      <c r="Q22">
        <f t="shared" si="43"/>
        <v>64</v>
      </c>
      <c r="R22">
        <f t="shared" si="43"/>
        <v>60</v>
      </c>
      <c r="S22">
        <f t="shared" si="43"/>
        <v>60</v>
      </c>
      <c r="T22">
        <f t="shared" si="43"/>
        <v>95</v>
      </c>
      <c r="U22">
        <f t="shared" si="43"/>
        <v>60</v>
      </c>
      <c r="V22">
        <f t="shared" si="43"/>
        <v>60</v>
      </c>
      <c r="W22" s="2">
        <f t="shared" si="44"/>
        <v>60</v>
      </c>
      <c r="X22">
        <f t="shared" si="45"/>
        <v>60</v>
      </c>
      <c r="Y22">
        <f t="shared" si="45"/>
        <v>60</v>
      </c>
      <c r="Z22">
        <f t="shared" si="45"/>
        <v>60</v>
      </c>
      <c r="AA22">
        <f t="shared" si="45"/>
        <v>60</v>
      </c>
      <c r="AB22" s="9">
        <f t="shared" si="46"/>
        <v>50.25</v>
      </c>
      <c r="AC22">
        <f t="shared" si="47"/>
        <v>61</v>
      </c>
      <c r="AD22">
        <f t="shared" si="47"/>
        <v>40</v>
      </c>
      <c r="AE22">
        <f t="shared" si="47"/>
        <v>40</v>
      </c>
      <c r="AF22">
        <f t="shared" si="47"/>
        <v>60</v>
      </c>
    </row>
    <row r="29" spans="3:32" x14ac:dyDescent="0.25">
      <c r="C29" s="2" t="s">
        <v>46</v>
      </c>
      <c r="G29" s="2" t="s">
        <v>47</v>
      </c>
      <c r="K29" s="2" t="s">
        <v>48</v>
      </c>
      <c r="P29" s="2" t="s">
        <v>49</v>
      </c>
      <c r="W29" s="2" t="s">
        <v>50</v>
      </c>
      <c r="AB29" s="2" t="s">
        <v>51</v>
      </c>
    </row>
    <row r="30" spans="3:32" x14ac:dyDescent="0.25">
      <c r="C30" s="2">
        <v>0.1656</v>
      </c>
      <c r="G30" s="2">
        <v>0.15679999999999999</v>
      </c>
      <c r="K30" s="2">
        <v>0.2203</v>
      </c>
      <c r="P30" s="2">
        <v>0.1779</v>
      </c>
      <c r="W30" s="2">
        <v>0.1452</v>
      </c>
      <c r="AB30" s="2">
        <v>0.13420000000000001</v>
      </c>
    </row>
    <row r="35" spans="3:8" x14ac:dyDescent="0.25">
      <c r="C35">
        <v>0</v>
      </c>
      <c r="D35">
        <v>0</v>
      </c>
      <c r="E35">
        <v>0</v>
      </c>
      <c r="F35" s="11">
        <v>16.666666666666668</v>
      </c>
      <c r="G35">
        <v>0</v>
      </c>
      <c r="H35">
        <v>50</v>
      </c>
    </row>
    <row r="36" spans="3:8" x14ac:dyDescent="0.25">
      <c r="C36">
        <v>100</v>
      </c>
      <c r="D36">
        <v>100</v>
      </c>
      <c r="E36">
        <v>100</v>
      </c>
      <c r="F36" s="11">
        <v>83.333333333333329</v>
      </c>
      <c r="G36">
        <v>100</v>
      </c>
      <c r="H36">
        <v>50</v>
      </c>
    </row>
    <row r="37" spans="3:8" x14ac:dyDescent="0.25">
      <c r="C37">
        <v>60</v>
      </c>
      <c r="D37">
        <v>60</v>
      </c>
      <c r="E37">
        <v>60</v>
      </c>
      <c r="F37" s="11">
        <v>66.5</v>
      </c>
      <c r="G37">
        <v>60</v>
      </c>
      <c r="H37" s="11">
        <v>50.25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2025-11-28T13:02:56Z</dcterms:modified>
</cp:coreProperties>
</file>