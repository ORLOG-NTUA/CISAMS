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final_analysis_aluminuym\"/>
    </mc:Choice>
  </mc:AlternateContent>
  <xr:revisionPtr revIDLastSave="0" documentId="13_ncr:1_{CD72BA57-F14F-472E-BCC4-1F81E1600C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0" i="1" l="1"/>
  <c r="AO21" i="1"/>
  <c r="AO19" i="1"/>
  <c r="AQ19" i="1"/>
  <c r="AR19" i="1"/>
  <c r="AS19" i="1"/>
  <c r="AT19" i="1"/>
  <c r="AU19" i="1"/>
  <c r="AV19" i="1"/>
  <c r="AQ20" i="1"/>
  <c r="AR20" i="1"/>
  <c r="AS20" i="1"/>
  <c r="AT20" i="1"/>
  <c r="AU20" i="1"/>
  <c r="AV20" i="1"/>
  <c r="AQ21" i="1"/>
  <c r="AR21" i="1"/>
  <c r="AS21" i="1"/>
  <c r="AT21" i="1"/>
  <c r="AU21" i="1"/>
  <c r="AV21" i="1"/>
  <c r="AP20" i="1"/>
  <c r="AP21" i="1"/>
  <c r="AP19" i="1"/>
  <c r="AV15" i="1"/>
  <c r="AV16" i="1"/>
  <c r="AV14" i="1"/>
  <c r="AU15" i="1"/>
  <c r="AU16" i="1"/>
  <c r="AU14" i="1"/>
  <c r="AT15" i="1"/>
  <c r="AT16" i="1"/>
  <c r="AT14" i="1"/>
  <c r="AS15" i="1"/>
  <c r="AS16" i="1"/>
  <c r="AS14" i="1"/>
  <c r="AR15" i="1"/>
  <c r="AR16" i="1"/>
  <c r="AR14" i="1"/>
  <c r="AQ15" i="1"/>
  <c r="AQ16" i="1"/>
  <c r="AQ14" i="1"/>
  <c r="AP15" i="1"/>
  <c r="AP16" i="1"/>
  <c r="AP14" i="1"/>
  <c r="AQ11" i="1"/>
  <c r="AR11" i="1"/>
  <c r="AS11" i="1"/>
  <c r="AT11" i="1"/>
  <c r="AU11" i="1"/>
  <c r="AV11" i="1"/>
  <c r="AP11" i="1"/>
  <c r="AQ10" i="1"/>
  <c r="AR10" i="1"/>
  <c r="AS10" i="1"/>
  <c r="AT10" i="1"/>
  <c r="AU10" i="1"/>
  <c r="AV10" i="1"/>
  <c r="AP10" i="1"/>
  <c r="AL20" i="1"/>
  <c r="AL21" i="1"/>
  <c r="AL19" i="1"/>
  <c r="AN19" i="1"/>
  <c r="AN20" i="1"/>
  <c r="AN21" i="1"/>
  <c r="AM20" i="1"/>
  <c r="AM21" i="1"/>
  <c r="AM19" i="1"/>
  <c r="AN15" i="1"/>
  <c r="AN16" i="1"/>
  <c r="AN14" i="1"/>
  <c r="AM15" i="1"/>
  <c r="AM16" i="1"/>
  <c r="AM14" i="1"/>
  <c r="AN11" i="1"/>
  <c r="AM11" i="1"/>
  <c r="AN10" i="1"/>
  <c r="AM10" i="1"/>
  <c r="AF20" i="1"/>
  <c r="AF21" i="1"/>
  <c r="AF19" i="1"/>
  <c r="AH19" i="1"/>
  <c r="AI19" i="1"/>
  <c r="AJ19" i="1"/>
  <c r="AK19" i="1"/>
  <c r="AH20" i="1"/>
  <c r="AI20" i="1"/>
  <c r="AJ20" i="1"/>
  <c r="AK20" i="1"/>
  <c r="AH21" i="1"/>
  <c r="AI21" i="1"/>
  <c r="AJ21" i="1"/>
  <c r="AK21" i="1"/>
  <c r="AG19" i="1"/>
  <c r="AG20" i="1"/>
  <c r="AG21" i="1"/>
  <c r="AK15" i="1"/>
  <c r="AK16" i="1"/>
  <c r="AK14" i="1"/>
  <c r="AJ15" i="1"/>
  <c r="AJ16" i="1"/>
  <c r="AJ14" i="1"/>
  <c r="AI15" i="1"/>
  <c r="AI16" i="1"/>
  <c r="AI14" i="1"/>
  <c r="AH14" i="1"/>
  <c r="AH15" i="1"/>
  <c r="AH16" i="1"/>
  <c r="AG15" i="1"/>
  <c r="AG16" i="1"/>
  <c r="AG14" i="1"/>
  <c r="AJ10" i="1"/>
  <c r="AI10" i="1"/>
  <c r="AH10" i="1"/>
  <c r="AG10" i="1"/>
  <c r="AH11" i="1"/>
  <c r="AI11" i="1"/>
  <c r="AJ11" i="1"/>
  <c r="AK11" i="1"/>
  <c r="AG11" i="1"/>
  <c r="AK10" i="1"/>
  <c r="AA20" i="1"/>
  <c r="AA21" i="1"/>
  <c r="AA19" i="1"/>
  <c r="AC19" i="1"/>
  <c r="AD19" i="1"/>
  <c r="AE19" i="1"/>
  <c r="AC20" i="1"/>
  <c r="AD20" i="1"/>
  <c r="AE20" i="1"/>
  <c r="AC21" i="1"/>
  <c r="AD21" i="1"/>
  <c r="AE21" i="1"/>
  <c r="AB20" i="1"/>
  <c r="AB21" i="1"/>
  <c r="AB19" i="1"/>
  <c r="AE15" i="1"/>
  <c r="AE16" i="1"/>
  <c r="AE14" i="1"/>
  <c r="AD15" i="1"/>
  <c r="AD16" i="1"/>
  <c r="AD14" i="1"/>
  <c r="AC15" i="1"/>
  <c r="AC16" i="1"/>
  <c r="AC14" i="1"/>
  <c r="AB15" i="1"/>
  <c r="AB16" i="1"/>
  <c r="AB14" i="1"/>
  <c r="AC11" i="1"/>
  <c r="AD11" i="1"/>
  <c r="AE11" i="1"/>
  <c r="AC10" i="1"/>
  <c r="AD10" i="1"/>
  <c r="AE10" i="1"/>
  <c r="AB11" i="1"/>
  <c r="AB10" i="1"/>
  <c r="V20" i="1"/>
  <c r="V21" i="1"/>
  <c r="V19" i="1"/>
  <c r="X19" i="1"/>
  <c r="Y19" i="1"/>
  <c r="Z19" i="1"/>
  <c r="X20" i="1"/>
  <c r="Y20" i="1"/>
  <c r="Z20" i="1"/>
  <c r="X21" i="1"/>
  <c r="Y21" i="1"/>
  <c r="Z21" i="1"/>
  <c r="W20" i="1"/>
  <c r="W21" i="1"/>
  <c r="W19" i="1"/>
  <c r="Z15" i="1"/>
  <c r="Z16" i="1"/>
  <c r="Z14" i="1"/>
  <c r="Y15" i="1"/>
  <c r="Y16" i="1"/>
  <c r="Y14" i="1"/>
  <c r="X15" i="1"/>
  <c r="X16" i="1"/>
  <c r="X14" i="1"/>
  <c r="W15" i="1"/>
  <c r="W16" i="1"/>
  <c r="W14" i="1"/>
  <c r="X11" i="1"/>
  <c r="Y11" i="1"/>
  <c r="Z11" i="1"/>
  <c r="X10" i="1"/>
  <c r="Y10" i="1"/>
  <c r="Z10" i="1"/>
  <c r="W11" i="1"/>
  <c r="W10" i="1"/>
  <c r="O20" i="1"/>
  <c r="O21" i="1"/>
  <c r="O19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P20" i="1"/>
  <c r="P21" i="1"/>
  <c r="P19" i="1"/>
  <c r="U15" i="1"/>
  <c r="U16" i="1"/>
  <c r="U14" i="1"/>
  <c r="T15" i="1"/>
  <c r="T16" i="1"/>
  <c r="T14" i="1"/>
  <c r="S15" i="1"/>
  <c r="S14" i="1"/>
  <c r="S16" i="1"/>
  <c r="R14" i="1"/>
  <c r="R15" i="1"/>
  <c r="R16" i="1"/>
  <c r="Q14" i="1"/>
  <c r="Q15" i="1"/>
  <c r="Q16" i="1"/>
  <c r="P15" i="1"/>
  <c r="P16" i="1"/>
  <c r="P14" i="1"/>
  <c r="Q11" i="1"/>
  <c r="R11" i="1"/>
  <c r="S11" i="1"/>
  <c r="T11" i="1"/>
  <c r="U11" i="1"/>
  <c r="Q10" i="1"/>
  <c r="R10" i="1"/>
  <c r="S10" i="1"/>
  <c r="T10" i="1"/>
  <c r="U10" i="1"/>
  <c r="P11" i="1"/>
  <c r="P10" i="1"/>
  <c r="C20" i="1"/>
  <c r="C21" i="1"/>
  <c r="C19" i="1"/>
  <c r="E19" i="1"/>
  <c r="F19" i="1"/>
  <c r="G19" i="1"/>
  <c r="H19" i="1"/>
  <c r="I19" i="1"/>
  <c r="J19" i="1"/>
  <c r="K19" i="1"/>
  <c r="L19" i="1"/>
  <c r="M19" i="1"/>
  <c r="N19" i="1"/>
  <c r="E20" i="1"/>
  <c r="F20" i="1"/>
  <c r="G20" i="1"/>
  <c r="H20" i="1"/>
  <c r="I20" i="1"/>
  <c r="J20" i="1"/>
  <c r="K20" i="1"/>
  <c r="L20" i="1"/>
  <c r="M20" i="1"/>
  <c r="N20" i="1"/>
  <c r="E21" i="1"/>
  <c r="F21" i="1"/>
  <c r="G21" i="1"/>
  <c r="H21" i="1"/>
  <c r="I21" i="1"/>
  <c r="J21" i="1"/>
  <c r="K21" i="1"/>
  <c r="L21" i="1"/>
  <c r="M21" i="1"/>
  <c r="N21" i="1"/>
  <c r="D20" i="1"/>
  <c r="D21" i="1"/>
  <c r="D19" i="1"/>
  <c r="N15" i="1"/>
  <c r="N16" i="1"/>
  <c r="N14" i="1"/>
  <c r="M15" i="1"/>
  <c r="M16" i="1"/>
  <c r="M14" i="1"/>
  <c r="L15" i="1"/>
  <c r="L16" i="1"/>
  <c r="L14" i="1"/>
  <c r="K15" i="1"/>
  <c r="K16" i="1"/>
  <c r="K14" i="1"/>
  <c r="J15" i="1"/>
  <c r="J16" i="1"/>
  <c r="J14" i="1"/>
  <c r="I15" i="1"/>
  <c r="I16" i="1"/>
  <c r="I14" i="1"/>
  <c r="H14" i="1"/>
  <c r="H15" i="1"/>
  <c r="H16" i="1"/>
  <c r="G15" i="1"/>
  <c r="G16" i="1"/>
  <c r="G14" i="1"/>
  <c r="F15" i="1"/>
  <c r="F16" i="1"/>
  <c r="F14" i="1"/>
  <c r="E15" i="1"/>
  <c r="E16" i="1"/>
  <c r="E14" i="1"/>
  <c r="D15" i="1"/>
  <c r="D16" i="1"/>
  <c r="D14" i="1"/>
  <c r="E11" i="1"/>
  <c r="F11" i="1"/>
  <c r="G11" i="1"/>
  <c r="H11" i="1"/>
  <c r="I11" i="1"/>
  <c r="J11" i="1"/>
  <c r="K11" i="1"/>
  <c r="L11" i="1"/>
  <c r="M11" i="1"/>
  <c r="N11" i="1"/>
  <c r="E10" i="1"/>
  <c r="F10" i="1"/>
  <c r="G10" i="1"/>
  <c r="H10" i="1"/>
  <c r="I10" i="1"/>
  <c r="J10" i="1"/>
  <c r="K10" i="1"/>
  <c r="L10" i="1"/>
  <c r="M10" i="1"/>
  <c r="N10" i="1"/>
  <c r="D11" i="1"/>
  <c r="D10" i="1"/>
</calcChain>
</file>

<file path=xl/sharedStrings.xml><?xml version="1.0" encoding="utf-8"?>
<sst xmlns="http://schemas.openxmlformats.org/spreadsheetml/2006/main" count="104" uniqueCount="66">
  <si>
    <t>Employment Practices</t>
  </si>
  <si>
    <t>S1</t>
  </si>
  <si>
    <t>A1</t>
  </si>
  <si>
    <t>A2</t>
  </si>
  <si>
    <t>A3</t>
  </si>
  <si>
    <t>MAX</t>
  </si>
  <si>
    <t>min</t>
  </si>
  <si>
    <t>max</t>
  </si>
  <si>
    <t>Labor Standards &amp; Workplace Conditions</t>
  </si>
  <si>
    <t>S2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</si>
  <si>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</si>
  <si>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</si>
  <si>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</si>
  <si>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</si>
  <si>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</si>
  <si>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</si>
  <si>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</si>
  <si>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</si>
  <si>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</si>
  <si>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K110</t>
  </si>
  <si>
    <t>K111</t>
  </si>
  <si>
    <t>K21</t>
  </si>
  <si>
    <t>K22</t>
  </si>
  <si>
    <t>K23</t>
  </si>
  <si>
    <t>K24</t>
  </si>
  <si>
    <t>K25</t>
  </si>
  <si>
    <t>K26</t>
  </si>
  <si>
    <t>Fair Compensation &amp; Benefits</t>
  </si>
  <si>
    <t>S3</t>
  </si>
  <si>
    <t>K32</t>
  </si>
  <si>
    <t>K31</t>
  </si>
  <si>
    <t>K33</t>
  </si>
  <si>
    <t>K34</t>
  </si>
  <si>
    <t>Ethical Practices</t>
  </si>
  <si>
    <t>S4</t>
  </si>
  <si>
    <t>K41</t>
  </si>
  <si>
    <t>K42</t>
  </si>
  <si>
    <t>K43</t>
  </si>
  <si>
    <t>K44</t>
  </si>
  <si>
    <t>Health &amp; Safety</t>
  </si>
  <si>
    <t>S5</t>
  </si>
  <si>
    <t>K51</t>
  </si>
  <si>
    <t>K52</t>
  </si>
  <si>
    <t>K53</t>
  </si>
  <si>
    <t>K54</t>
  </si>
  <si>
    <t>K55</t>
  </si>
  <si>
    <t>Governance &amp; Reporting</t>
  </si>
  <si>
    <t>S6</t>
  </si>
  <si>
    <t>K61</t>
  </si>
  <si>
    <t>K62</t>
  </si>
  <si>
    <t>Impacts on Society</t>
  </si>
  <si>
    <t>S7</t>
  </si>
  <si>
    <t>K71</t>
  </si>
  <si>
    <t>K72</t>
  </si>
  <si>
    <t>K73</t>
  </si>
  <si>
    <t>K74</t>
  </si>
  <si>
    <t>K75</t>
  </si>
  <si>
    <t>K76</t>
  </si>
  <si>
    <t>K77</t>
  </si>
  <si>
    <t>W1</t>
  </si>
  <si>
    <t>W2</t>
  </si>
  <si>
    <t>W3</t>
  </si>
  <si>
    <t>W4</t>
  </si>
  <si>
    <t>W5</t>
  </si>
  <si>
    <t>W6</t>
  </si>
  <si>
    <t>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</si>
</sst>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"/>
  <sheetViews>
    <sheetView tabSelected="1" zoomScale="80" zoomScaleNormal="80" workbookViewId="0">
      <selection activeCell="C9" sqref="C9"/>
    </sheetView>
  </sheetViews>
  <sheetFormatPr defaultRowHeight="15" x14ac:dyDescent="0.25"/>
  <cols>
    <col min="3" max="3" width="23.28515625" bestFit="1" customWidth="1"/>
    <col min="15" max="15" width="41.7109375" bestFit="1" customWidth="1"/>
    <col min="22" max="22" width="30.42578125" bestFit="1" customWidth="1"/>
    <col min="27" max="27" width="17.7109375" bestFit="1" customWidth="1"/>
    <col min="32" max="32" width="16.42578125" bestFit="1" customWidth="1"/>
    <col min="38" max="38" width="25" bestFit="1" customWidth="1"/>
    <col min="41" max="41" width="19.85546875" bestFit="1" customWidth="1"/>
  </cols>
  <sheetData>
    <row r="1" spans="1:48" x14ac:dyDescent="0.25">
      <c r="C1" s="2" t="s">
        <v>0</v>
      </c>
      <c r="O1" s="2" t="s">
        <v>8</v>
      </c>
      <c r="V1" s="1" t="s">
        <v>27</v>
      </c>
      <c r="AA1" s="1" t="s">
        <v>33</v>
      </c>
      <c r="AF1" s="1" t="s">
        <v>39</v>
      </c>
      <c r="AL1" s="1" t="s">
        <v>46</v>
      </c>
      <c r="AO1" s="1" t="s">
        <v>50</v>
      </c>
    </row>
    <row r="2" spans="1:48" x14ac:dyDescent="0.25">
      <c r="C2" s="3" t="s">
        <v>1</v>
      </c>
      <c r="O2" s="3" t="s">
        <v>9</v>
      </c>
      <c r="V2" t="s">
        <v>28</v>
      </c>
      <c r="AA2" t="s">
        <v>34</v>
      </c>
      <c r="AF2" t="s">
        <v>40</v>
      </c>
      <c r="AL2" t="s">
        <v>47</v>
      </c>
      <c r="AO2" t="s">
        <v>51</v>
      </c>
    </row>
    <row r="3" spans="1:48" x14ac:dyDescent="0.25"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W3" t="s">
        <v>5</v>
      </c>
      <c r="X3" t="s">
        <v>5</v>
      </c>
      <c r="Y3" t="s">
        <v>5</v>
      </c>
      <c r="Z3" t="s">
        <v>5</v>
      </c>
      <c r="AB3" t="s">
        <v>5</v>
      </c>
      <c r="AC3" t="s">
        <v>5</v>
      </c>
      <c r="AD3" t="s">
        <v>5</v>
      </c>
      <c r="AE3" t="s">
        <v>5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M3" t="s">
        <v>5</v>
      </c>
      <c r="AN3" t="s">
        <v>5</v>
      </c>
      <c r="AP3" t="s">
        <v>5</v>
      </c>
      <c r="AQ3" t="s">
        <v>5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</row>
    <row r="4" spans="1:48" x14ac:dyDescent="0.25"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W4" t="s">
        <v>30</v>
      </c>
      <c r="X4" t="s">
        <v>29</v>
      </c>
      <c r="Y4" t="s">
        <v>31</v>
      </c>
      <c r="Z4" t="s">
        <v>32</v>
      </c>
      <c r="AB4" t="s">
        <v>35</v>
      </c>
      <c r="AC4" t="s">
        <v>36</v>
      </c>
      <c r="AD4" t="s">
        <v>37</v>
      </c>
      <c r="AE4" t="s">
        <v>38</v>
      </c>
      <c r="AG4" t="s">
        <v>41</v>
      </c>
      <c r="AH4" t="s">
        <v>42</v>
      </c>
      <c r="AI4" t="s">
        <v>43</v>
      </c>
      <c r="AJ4" t="s">
        <v>44</v>
      </c>
      <c r="AK4" t="s">
        <v>45</v>
      </c>
      <c r="AM4" t="s">
        <v>48</v>
      </c>
      <c r="AN4" t="s">
        <v>49</v>
      </c>
      <c r="AP4" t="s">
        <v>52</v>
      </c>
      <c r="AQ4" t="s">
        <v>53</v>
      </c>
      <c r="AR4" t="s">
        <v>54</v>
      </c>
      <c r="AS4" t="s">
        <v>55</v>
      </c>
      <c r="AT4" t="s">
        <v>56</v>
      </c>
      <c r="AU4" t="s">
        <v>57</v>
      </c>
      <c r="AV4" t="s">
        <v>58</v>
      </c>
    </row>
    <row r="5" spans="1:48" x14ac:dyDescent="0.25">
      <c r="A5" t="s">
        <v>2</v>
      </c>
      <c r="D5">
        <v>2</v>
      </c>
      <c r="E5">
        <v>5</v>
      </c>
      <c r="F5">
        <v>4</v>
      </c>
      <c r="G5">
        <v>5</v>
      </c>
      <c r="H5">
        <v>5</v>
      </c>
      <c r="I5">
        <v>2</v>
      </c>
      <c r="J5">
        <v>5</v>
      </c>
      <c r="K5">
        <v>1</v>
      </c>
      <c r="L5">
        <v>5</v>
      </c>
      <c r="M5">
        <v>4</v>
      </c>
      <c r="N5">
        <v>5</v>
      </c>
      <c r="P5">
        <v>5</v>
      </c>
      <c r="Q5">
        <v>4</v>
      </c>
      <c r="R5">
        <v>4</v>
      </c>
      <c r="S5">
        <v>1</v>
      </c>
      <c r="T5">
        <v>5</v>
      </c>
      <c r="U5">
        <v>4</v>
      </c>
      <c r="W5">
        <v>4</v>
      </c>
      <c r="X5">
        <v>5</v>
      </c>
      <c r="Y5">
        <v>5</v>
      </c>
      <c r="Z5">
        <v>5</v>
      </c>
      <c r="AB5">
        <v>5</v>
      </c>
      <c r="AC5">
        <v>5</v>
      </c>
      <c r="AD5">
        <v>5</v>
      </c>
      <c r="AE5">
        <v>5</v>
      </c>
      <c r="AG5">
        <v>4</v>
      </c>
      <c r="AH5">
        <v>4</v>
      </c>
      <c r="AI5">
        <v>5</v>
      </c>
      <c r="AJ5">
        <v>4</v>
      </c>
      <c r="AK5">
        <v>5</v>
      </c>
      <c r="AM5">
        <v>5</v>
      </c>
      <c r="AN5">
        <v>2</v>
      </c>
      <c r="AP5">
        <v>2</v>
      </c>
      <c r="AQ5">
        <v>5</v>
      </c>
      <c r="AR5">
        <v>2</v>
      </c>
      <c r="AS5">
        <v>1</v>
      </c>
      <c r="AT5">
        <v>4</v>
      </c>
      <c r="AU5">
        <v>5</v>
      </c>
      <c r="AV5">
        <v>5</v>
      </c>
    </row>
    <row r="6" spans="1:48" x14ac:dyDescent="0.25">
      <c r="A6" t="s">
        <v>3</v>
      </c>
      <c r="D6" s="4">
        <v>4.707110880497245</v>
      </c>
      <c r="E6" s="4">
        <v>4.4142217609944874</v>
      </c>
      <c r="F6" s="4">
        <v>3.6342029193507743</v>
      </c>
      <c r="G6" s="4">
        <v>4.4142217609944874</v>
      </c>
      <c r="H6" s="4">
        <v>4.4142217609944874</v>
      </c>
      <c r="I6" s="4">
        <v>1.7800188416437135</v>
      </c>
      <c r="J6" s="4">
        <v>3.6342029193507743</v>
      </c>
      <c r="K6" s="4">
        <v>4.4142217609944874</v>
      </c>
      <c r="L6" s="4">
        <v>4.4142217609944874</v>
      </c>
      <c r="M6" s="4">
        <v>4.4142217609944874</v>
      </c>
      <c r="N6" s="4">
        <v>4.4142217609944874</v>
      </c>
      <c r="P6" s="4">
        <v>4.4142217609944874</v>
      </c>
      <c r="Q6" s="4">
        <v>3.7071108804972441</v>
      </c>
      <c r="R6" s="4">
        <v>2.7071108804972441</v>
      </c>
      <c r="S6" s="4">
        <v>2.7071108804972441</v>
      </c>
      <c r="T6" s="4">
        <v>4.4142217609944874</v>
      </c>
      <c r="U6" s="4">
        <v>3.6342029193507743</v>
      </c>
      <c r="W6" s="4">
        <v>2.7071108804972441</v>
      </c>
      <c r="X6" s="4">
        <v>4.4142217609944874</v>
      </c>
      <c r="Y6" s="4">
        <v>4.4142217609944874</v>
      </c>
      <c r="Z6" s="4">
        <v>3.6342029193507743</v>
      </c>
      <c r="AB6" s="4">
        <v>4.4142217609944874</v>
      </c>
      <c r="AC6" s="4">
        <v>4.4142217609944874</v>
      </c>
      <c r="AD6" s="4">
        <v>4.4142217609944874</v>
      </c>
      <c r="AE6" s="4">
        <v>4.5612949582043054</v>
      </c>
      <c r="AG6" s="4">
        <v>3.6342029193507743</v>
      </c>
      <c r="AH6" s="4">
        <v>3.4871297221409572</v>
      </c>
      <c r="AI6" s="4">
        <v>4.4142217609944874</v>
      </c>
      <c r="AJ6" s="4">
        <v>3.4871297221409572</v>
      </c>
      <c r="AK6" s="4">
        <v>4.4142217609944874</v>
      </c>
      <c r="AM6" s="4">
        <v>4.4142217609944874</v>
      </c>
      <c r="AN6" s="4">
        <v>4.4142217609944874</v>
      </c>
      <c r="AP6" s="4">
        <v>4.4142217609944874</v>
      </c>
      <c r="AQ6" s="4">
        <v>4.4142217609944874</v>
      </c>
      <c r="AR6" s="4">
        <v>4.4142217609944874</v>
      </c>
      <c r="AS6" s="4">
        <v>3.6342029193507743</v>
      </c>
      <c r="AT6" s="4">
        <v>3.6342029193507743</v>
      </c>
      <c r="AU6" s="4">
        <v>4.4142217609944874</v>
      </c>
      <c r="AV6" s="4">
        <v>3.6342029193507743</v>
      </c>
    </row>
    <row r="7" spans="1:48" x14ac:dyDescent="0.25">
      <c r="A7" t="s">
        <v>4</v>
      </c>
      <c r="D7" s="4">
        <v>3.6242665282983468</v>
      </c>
      <c r="E7" s="4">
        <v>4.6485330565966922</v>
      </c>
      <c r="F7" s="4">
        <v>3.7805217516104648</v>
      </c>
      <c r="G7" s="4">
        <v>4.6485330565966922</v>
      </c>
      <c r="H7" s="4">
        <v>4.6485330565966922</v>
      </c>
      <c r="I7" s="4">
        <v>1.8680113049862281</v>
      </c>
      <c r="J7" s="4">
        <v>4.1805217516104651</v>
      </c>
      <c r="K7" s="4">
        <v>3.0485330565966922</v>
      </c>
      <c r="L7" s="4">
        <v>4.6485330565966922</v>
      </c>
      <c r="M7" s="4">
        <v>4.2485330565966919</v>
      </c>
      <c r="N7" s="4">
        <v>4.6485330565966922</v>
      </c>
      <c r="P7" s="4">
        <v>4.6485330565966922</v>
      </c>
      <c r="Q7" s="4">
        <v>3.8242665282983466</v>
      </c>
      <c r="R7" s="4">
        <v>3.2242665282983465</v>
      </c>
      <c r="S7" s="4">
        <v>2.0242665282983463</v>
      </c>
      <c r="T7" s="4">
        <v>4.6485330565966922</v>
      </c>
      <c r="U7" s="4">
        <v>3.7805217516104648</v>
      </c>
      <c r="W7" s="4">
        <v>3.2242665282983465</v>
      </c>
      <c r="X7" s="4">
        <v>4.6485330565966922</v>
      </c>
      <c r="Y7" s="4">
        <v>4.6485330565966922</v>
      </c>
      <c r="Z7" s="4">
        <v>4.1805217516104651</v>
      </c>
      <c r="AB7" s="4">
        <v>4.6485330565966922</v>
      </c>
      <c r="AC7" s="4">
        <v>4.6485330565966922</v>
      </c>
      <c r="AD7" s="4">
        <v>4.6485330565966922</v>
      </c>
      <c r="AE7" s="4">
        <v>4.7367769749225825</v>
      </c>
      <c r="AG7" s="4">
        <v>3.7805217516104648</v>
      </c>
      <c r="AH7" s="4">
        <v>3.6922778332845745</v>
      </c>
      <c r="AI7" s="4">
        <v>4.6485330565966922</v>
      </c>
      <c r="AJ7" s="4">
        <v>3.6922778332845745</v>
      </c>
      <c r="AK7" s="4">
        <v>4.6485330565966922</v>
      </c>
      <c r="AM7" s="4">
        <v>4.6485330565966922</v>
      </c>
      <c r="AN7" s="4">
        <v>3.4485330565966921</v>
      </c>
      <c r="AP7" s="4">
        <v>3.4485330565966921</v>
      </c>
      <c r="AQ7" s="4">
        <v>4.6485330565966922</v>
      </c>
      <c r="AR7" s="4">
        <v>3.4485330565966921</v>
      </c>
      <c r="AS7" s="4">
        <v>2.5805217516104646</v>
      </c>
      <c r="AT7" s="4">
        <v>3.7805217516104648</v>
      </c>
      <c r="AU7" s="4">
        <v>4.6485330565966922</v>
      </c>
      <c r="AV7" s="4">
        <v>4.1805217516104651</v>
      </c>
    </row>
    <row r="10" spans="1:48" x14ac:dyDescent="0.25">
      <c r="A10" t="s">
        <v>6</v>
      </c>
      <c r="D10" s="4">
        <f>MIN(D5:D7)</f>
        <v>2</v>
      </c>
      <c r="E10" s="4">
        <f t="shared" ref="E10:N10" si="0">MIN(E5:E7)</f>
        <v>4.4142217609944874</v>
      </c>
      <c r="F10" s="4">
        <f t="shared" si="0"/>
        <v>3.6342029193507743</v>
      </c>
      <c r="G10" s="4">
        <f t="shared" si="0"/>
        <v>4.4142217609944874</v>
      </c>
      <c r="H10" s="4">
        <f t="shared" si="0"/>
        <v>4.4142217609944874</v>
      </c>
      <c r="I10" s="4">
        <f t="shared" si="0"/>
        <v>1.7800188416437135</v>
      </c>
      <c r="J10" s="4">
        <f t="shared" si="0"/>
        <v>3.6342029193507743</v>
      </c>
      <c r="K10" s="4">
        <f t="shared" si="0"/>
        <v>1</v>
      </c>
      <c r="L10" s="4">
        <f t="shared" si="0"/>
        <v>4.4142217609944874</v>
      </c>
      <c r="M10" s="4">
        <f t="shared" si="0"/>
        <v>4</v>
      </c>
      <c r="N10" s="4">
        <f t="shared" si="0"/>
        <v>4.4142217609944874</v>
      </c>
      <c r="P10" s="4">
        <f>MIN(P5:P7)</f>
        <v>4.4142217609944874</v>
      </c>
      <c r="Q10" s="4">
        <f t="shared" ref="Q10:U10" si="1">MIN(Q5:Q7)</f>
        <v>3.7071108804972441</v>
      </c>
      <c r="R10" s="4">
        <f t="shared" si="1"/>
        <v>2.7071108804972441</v>
      </c>
      <c r="S10" s="4">
        <f t="shared" si="1"/>
        <v>1</v>
      </c>
      <c r="T10" s="4">
        <f t="shared" si="1"/>
        <v>4.4142217609944874</v>
      </c>
      <c r="U10" s="4">
        <f t="shared" si="1"/>
        <v>3.6342029193507743</v>
      </c>
      <c r="W10" s="4">
        <f>MIN(W5:W7)</f>
        <v>2.7071108804972441</v>
      </c>
      <c r="X10" s="4">
        <f t="shared" ref="X10:Z10" si="2">MIN(X5:X7)</f>
        <v>4.4142217609944874</v>
      </c>
      <c r="Y10" s="4">
        <f t="shared" si="2"/>
        <v>4.4142217609944874</v>
      </c>
      <c r="Z10" s="4">
        <f t="shared" si="2"/>
        <v>3.6342029193507743</v>
      </c>
      <c r="AB10" s="4">
        <f>MIN(AB5:AB7)</f>
        <v>4.4142217609944874</v>
      </c>
      <c r="AC10" s="4">
        <f t="shared" ref="AC10:AE10" si="3">MIN(AC5:AC7)</f>
        <v>4.4142217609944874</v>
      </c>
      <c r="AD10" s="4">
        <f t="shared" si="3"/>
        <v>4.4142217609944874</v>
      </c>
      <c r="AE10" s="4">
        <f t="shared" si="3"/>
        <v>4.5612949582043054</v>
      </c>
      <c r="AG10" s="4">
        <f>MIN(AG5:AG7)</f>
        <v>3.6342029193507743</v>
      </c>
      <c r="AH10" s="4">
        <f>MIN(AH5:AH7)</f>
        <v>3.4871297221409572</v>
      </c>
      <c r="AI10" s="4">
        <f>MIN(AI5:AI7)</f>
        <v>4.4142217609944874</v>
      </c>
      <c r="AJ10" s="4">
        <f>MIN(AJ5:AJ7)</f>
        <v>3.4871297221409572</v>
      </c>
      <c r="AK10" s="4">
        <f t="shared" ref="AK10" si="4">MIN(AK5:AK7)</f>
        <v>4.4142217609944874</v>
      </c>
      <c r="AM10" s="4">
        <f>MIN(AM5:AM7)</f>
        <v>4.4142217609944874</v>
      </c>
      <c r="AN10" s="4">
        <f>MIN(AN5:AN7)</f>
        <v>2</v>
      </c>
      <c r="AP10" s="4">
        <f>MIN(AP5:AP7)</f>
        <v>2</v>
      </c>
      <c r="AQ10" s="4">
        <f t="shared" ref="AQ10:AV10" si="5">MIN(AQ5:AQ7)</f>
        <v>4.4142217609944874</v>
      </c>
      <c r="AR10" s="4">
        <f t="shared" si="5"/>
        <v>2</v>
      </c>
      <c r="AS10" s="4">
        <f t="shared" si="5"/>
        <v>1</v>
      </c>
      <c r="AT10" s="4">
        <f t="shared" si="5"/>
        <v>3.6342029193507743</v>
      </c>
      <c r="AU10" s="4">
        <f t="shared" si="5"/>
        <v>4.4142217609944874</v>
      </c>
      <c r="AV10" s="4">
        <f t="shared" si="5"/>
        <v>3.6342029193507743</v>
      </c>
    </row>
    <row r="11" spans="1:48" x14ac:dyDescent="0.25">
      <c r="A11" t="s">
        <v>7</v>
      </c>
      <c r="D11" s="4">
        <f>MAX(D5:D7)</f>
        <v>4.707110880497245</v>
      </c>
      <c r="E11" s="4">
        <f t="shared" ref="E11:N11" si="6">MAX(E5:E7)</f>
        <v>5</v>
      </c>
      <c r="F11" s="4">
        <f t="shared" si="6"/>
        <v>4</v>
      </c>
      <c r="G11" s="4">
        <f t="shared" si="6"/>
        <v>5</v>
      </c>
      <c r="H11" s="4">
        <f t="shared" si="6"/>
        <v>5</v>
      </c>
      <c r="I11" s="4">
        <f t="shared" si="6"/>
        <v>2</v>
      </c>
      <c r="J11" s="4">
        <f t="shared" si="6"/>
        <v>5</v>
      </c>
      <c r="K11" s="4">
        <f t="shared" si="6"/>
        <v>4.4142217609944874</v>
      </c>
      <c r="L11" s="4">
        <f t="shared" si="6"/>
        <v>5</v>
      </c>
      <c r="M11" s="4">
        <f t="shared" si="6"/>
        <v>4.4142217609944874</v>
      </c>
      <c r="N11" s="4">
        <f t="shared" si="6"/>
        <v>5</v>
      </c>
      <c r="P11" s="4">
        <f>MAX(P5:P7)</f>
        <v>5</v>
      </c>
      <c r="Q11" s="4">
        <f t="shared" ref="Q11:U11" si="7">MAX(Q5:Q7)</f>
        <v>4</v>
      </c>
      <c r="R11" s="4">
        <f t="shared" si="7"/>
        <v>4</v>
      </c>
      <c r="S11" s="4">
        <f t="shared" si="7"/>
        <v>2.7071108804972441</v>
      </c>
      <c r="T11" s="4">
        <f t="shared" si="7"/>
        <v>5</v>
      </c>
      <c r="U11" s="4">
        <f t="shared" si="7"/>
        <v>4</v>
      </c>
      <c r="W11" s="4">
        <f>MAX(W5:W7)</f>
        <v>4</v>
      </c>
      <c r="X11" s="4">
        <f t="shared" ref="X11:Z11" si="8">MAX(X5:X7)</f>
        <v>5</v>
      </c>
      <c r="Y11" s="4">
        <f t="shared" si="8"/>
        <v>5</v>
      </c>
      <c r="Z11" s="4">
        <f t="shared" si="8"/>
        <v>5</v>
      </c>
      <c r="AB11" s="4">
        <f>MAX(AB5:AB7)</f>
        <v>5</v>
      </c>
      <c r="AC11" s="4">
        <f t="shared" ref="AC11:AE11" si="9">MAX(AC5:AC7)</f>
        <v>5</v>
      </c>
      <c r="AD11" s="4">
        <f t="shared" si="9"/>
        <v>5</v>
      </c>
      <c r="AE11" s="4">
        <f t="shared" si="9"/>
        <v>5</v>
      </c>
      <c r="AG11" s="4">
        <f>MAX(AG5:AG7)</f>
        <v>4</v>
      </c>
      <c r="AH11" s="4">
        <f t="shared" ref="AH11:AK11" si="10">MAX(AH5:AH7)</f>
        <v>4</v>
      </c>
      <c r="AI11" s="4">
        <f t="shared" si="10"/>
        <v>5</v>
      </c>
      <c r="AJ11" s="4">
        <f t="shared" si="10"/>
        <v>4</v>
      </c>
      <c r="AK11" s="4">
        <f t="shared" si="10"/>
        <v>5</v>
      </c>
      <c r="AM11" s="4">
        <f>MAX(AM5:AM7)</f>
        <v>5</v>
      </c>
      <c r="AN11" s="4">
        <f>MAX(AN5:AN7)</f>
        <v>4.4142217609944874</v>
      </c>
      <c r="AP11" s="4">
        <f>MAX(AP5:AP7)</f>
        <v>4.4142217609944874</v>
      </c>
      <c r="AQ11" s="4">
        <f t="shared" ref="AQ11:AV11" si="11">MAX(AQ5:AQ7)</f>
        <v>5</v>
      </c>
      <c r="AR11" s="4">
        <f t="shared" si="11"/>
        <v>4.4142217609944874</v>
      </c>
      <c r="AS11" s="4">
        <f t="shared" si="11"/>
        <v>3.6342029193507743</v>
      </c>
      <c r="AT11" s="4">
        <f t="shared" si="11"/>
        <v>4</v>
      </c>
      <c r="AU11" s="4">
        <f t="shared" si="11"/>
        <v>5</v>
      </c>
      <c r="AV11" s="4">
        <f t="shared" si="11"/>
        <v>5</v>
      </c>
    </row>
    <row r="14" spans="1:48" x14ac:dyDescent="0.25">
      <c r="D14">
        <f>(D5-$D$10)/($D$11-$D$10)</f>
        <v>0</v>
      </c>
      <c r="E14">
        <f>(E5-$E$10)/($E$11-$E$10)</f>
        <v>1</v>
      </c>
      <c r="F14">
        <f>(F5-$F$10)/($F$11-$F$10)</f>
        <v>1</v>
      </c>
      <c r="G14">
        <f>(G5-$G$10)/($G$11-$G$10)</f>
        <v>1</v>
      </c>
      <c r="H14">
        <f>(H5-$H$10)/($H$11-$H$10)</f>
        <v>1</v>
      </c>
      <c r="I14">
        <f>(I5-$I$10)/($I$11-$I$10)</f>
        <v>1</v>
      </c>
      <c r="J14">
        <f>(J5-$J$10)/($J$11-$J$10)</f>
        <v>1</v>
      </c>
      <c r="K14">
        <f>(K5-$K$10)/($K$11-$K$10)</f>
        <v>0</v>
      </c>
      <c r="L14">
        <f>(L5-$L$10)/($L$11-$L$10)</f>
        <v>1</v>
      </c>
      <c r="M14">
        <f>(M5-$M$10)/($M$11-$M$10)</f>
        <v>0</v>
      </c>
      <c r="N14">
        <f>(N5-$N$10)/($N$11-$N$10)</f>
        <v>1</v>
      </c>
      <c r="P14">
        <f>(P5-$P$10)/($P$11-$P$10)</f>
        <v>1</v>
      </c>
      <c r="Q14">
        <f>(Q5-$Q$10)/($Q$11-$Q$10)</f>
        <v>1</v>
      </c>
      <c r="R14">
        <f>(R5-$R$10)/($R$11-$R$10)</f>
        <v>1</v>
      </c>
      <c r="S14">
        <f>(S5-$S$10)/($S$11-$S$10)</f>
        <v>0</v>
      </c>
      <c r="T14">
        <f>(T5-$T$10)/($T$11-$T$10)</f>
        <v>1</v>
      </c>
      <c r="U14">
        <f>(U5-$U$10)/($U$11-$U$10)</f>
        <v>1</v>
      </c>
      <c r="W14">
        <f>(W5-$W$10)/($W$11-$W$10)</f>
        <v>1</v>
      </c>
      <c r="X14">
        <f>(X5-$X$10)/($X$11-$X$10)</f>
        <v>1</v>
      </c>
      <c r="Y14">
        <f>(Y5-$Y$10)/($Y$11-$Y$10)</f>
        <v>1</v>
      </c>
      <c r="Z14">
        <f>(Z5-$Z$10)/($Z$11-$Z$10)</f>
        <v>1</v>
      </c>
      <c r="AB14">
        <f>(AB5-$AB$10)/($AB$11-$AB$10)</f>
        <v>1</v>
      </c>
      <c r="AC14">
        <f>(AC5-$AC$10)/($AC$11-$AC$10)</f>
        <v>1</v>
      </c>
      <c r="AD14">
        <f>(AD5-$AD$10)/($AD$11-$AD$10)</f>
        <v>1</v>
      </c>
      <c r="AE14">
        <f>(AE5-$AE$10)/($AE$11-$AE$10)</f>
        <v>1</v>
      </c>
      <c r="AG14">
        <f>(AG5-$AG$10)/($AG$11-$AG$10)</f>
        <v>1</v>
      </c>
      <c r="AH14">
        <f>(AH5-$AH$10)/($AH$11-$AH$10)</f>
        <v>1</v>
      </c>
      <c r="AI14">
        <f>(AI5-$AI$10)/($AI$11-$AI$10)</f>
        <v>1</v>
      </c>
      <c r="AJ14">
        <f>(AJ5-$AJ$10)/($AJ$11-$AJ$10)</f>
        <v>1</v>
      </c>
      <c r="AK14">
        <f>(AK5-$AK$10)/($AK$11-$AK$10)</f>
        <v>1</v>
      </c>
      <c r="AM14">
        <f>(AM5-$AM$10)/($AM$11-$AM$10)</f>
        <v>1</v>
      </c>
      <c r="AN14">
        <f>(AN5-$AN$10)/($AN$11-$AN$10)</f>
        <v>0</v>
      </c>
      <c r="AP14">
        <f>(AP5-$AP$10)/($AP$11-$AP$10)</f>
        <v>0</v>
      </c>
      <c r="AQ14">
        <f>(AQ5-$AQ$10)/($AQ$11-$AQ$10)</f>
        <v>1</v>
      </c>
      <c r="AR14">
        <f>(AR5-$AR$10)/($AR$11-$AR$10)</f>
        <v>0</v>
      </c>
      <c r="AS14">
        <f>(AS5-$AS$10)/($AS$11-$AS$10)</f>
        <v>0</v>
      </c>
      <c r="AT14">
        <f>(AT5-$AT$10)/($AT$11-$AT$10)</f>
        <v>1</v>
      </c>
      <c r="AU14">
        <f>(AU5-$AU$10)/($AU$11-$AU$10)</f>
        <v>1</v>
      </c>
      <c r="AV14">
        <f>(AV5-$AV$10)/($AV$11-$AV$10)</f>
        <v>1</v>
      </c>
    </row>
    <row r="15" spans="1:48" x14ac:dyDescent="0.25">
      <c r="D15">
        <f t="shared" ref="D15:D16" si="12">(D6-$D$10)/($D$11-$D$10)</f>
        <v>1</v>
      </c>
      <c r="E15">
        <f t="shared" ref="E15:E16" si="13">(E6-$E$10)/($E$11-$E$10)</f>
        <v>0</v>
      </c>
      <c r="F15">
        <f t="shared" ref="F15:F16" si="14">(F6-$F$10)/($F$11-$F$10)</f>
        <v>0</v>
      </c>
      <c r="G15">
        <f t="shared" ref="G15:G16" si="15">(G6-$G$10)/($G$11-$G$10)</f>
        <v>0</v>
      </c>
      <c r="H15">
        <f t="shared" ref="H15:H16" si="16">(H6-$H$10)/($H$11-$H$10)</f>
        <v>0</v>
      </c>
      <c r="I15">
        <f t="shared" ref="I15:I16" si="17">(I6-$I$10)/($I$11-$I$10)</f>
        <v>0</v>
      </c>
      <c r="J15">
        <f t="shared" ref="J15:J16" si="18">(J6-$J$10)/($J$11-$J$10)</f>
        <v>0</v>
      </c>
      <c r="K15">
        <f t="shared" ref="K15:K16" si="19">(K6-$K$10)/($K$11-$K$10)</f>
        <v>1</v>
      </c>
      <c r="L15">
        <f t="shared" ref="L15:L16" si="20">(L6-$L$10)/($L$11-$L$10)</f>
        <v>0</v>
      </c>
      <c r="M15">
        <f t="shared" ref="M15:M16" si="21">(M6-$M$10)/($M$11-$M$10)</f>
        <v>1</v>
      </c>
      <c r="N15">
        <f t="shared" ref="N15:N16" si="22">(N6-$N$10)/($N$11-$N$10)</f>
        <v>0</v>
      </c>
      <c r="P15">
        <f t="shared" ref="P15:P16" si="23">(P6-$P$10)/($P$11-$P$10)</f>
        <v>0</v>
      </c>
      <c r="Q15">
        <f t="shared" ref="Q15:Q16" si="24">(Q6-$Q$10)/($Q$11-$Q$10)</f>
        <v>0</v>
      </c>
      <c r="R15">
        <f t="shared" ref="R15:R16" si="25">(R6-$R$10)/($R$11-$R$10)</f>
        <v>0</v>
      </c>
      <c r="S15">
        <f>(S6-$S$10)/($S$11-$S$10)</f>
        <v>1</v>
      </c>
      <c r="T15">
        <f t="shared" ref="T15:T16" si="26">(T6-$T$10)/($T$11-$T$10)</f>
        <v>0</v>
      </c>
      <c r="U15">
        <f t="shared" ref="U15:U16" si="27">(U6-$U$10)/($U$11-$U$10)</f>
        <v>0</v>
      </c>
      <c r="W15">
        <f t="shared" ref="W15:W16" si="28">(W6-$W$10)/($W$11-$W$10)</f>
        <v>0</v>
      </c>
      <c r="X15">
        <f t="shared" ref="X15:X16" si="29">(X6-$X$10)/($X$11-$X$10)</f>
        <v>0</v>
      </c>
      <c r="Y15">
        <f t="shared" ref="Y15:Y16" si="30">(Y6-$Y$10)/($Y$11-$Y$10)</f>
        <v>0</v>
      </c>
      <c r="Z15">
        <f t="shared" ref="Z15:Z16" si="31">(Z6-$Z$10)/($Z$11-$Z$10)</f>
        <v>0</v>
      </c>
      <c r="AB15">
        <f t="shared" ref="AB15:AB16" si="32">(AB6-$AB$10)/($AB$11-$AB$10)</f>
        <v>0</v>
      </c>
      <c r="AC15">
        <f t="shared" ref="AC15:AC16" si="33">(AC6-$AC$10)/($AC$11-$AC$10)</f>
        <v>0</v>
      </c>
      <c r="AD15">
        <f t="shared" ref="AD15:AD16" si="34">(AD6-$AD$10)/($AD$11-$AD$10)</f>
        <v>0</v>
      </c>
      <c r="AE15">
        <f t="shared" ref="AE15:AE16" si="35">(AE6-$AE$10)/($AE$11-$AE$10)</f>
        <v>0</v>
      </c>
      <c r="AG15">
        <f t="shared" ref="AG15:AG16" si="36">(AG6-$AG$10)/($AG$11-$AG$10)</f>
        <v>0</v>
      </c>
      <c r="AH15">
        <f t="shared" ref="AH15:AH16" si="37">(AH6-$AH$10)/($AH$11-$AH$10)</f>
        <v>0</v>
      </c>
      <c r="AI15">
        <f t="shared" ref="AI15:AI16" si="38">(AI6-$AI$10)/($AI$11-$AI$10)</f>
        <v>0</v>
      </c>
      <c r="AJ15">
        <f t="shared" ref="AJ15:AJ16" si="39">(AJ6-$AJ$10)/($AJ$11-$AJ$10)</f>
        <v>0</v>
      </c>
      <c r="AK15">
        <f t="shared" ref="AK15:AK16" si="40">(AK6-$AK$10)/($AK$11-$AK$10)</f>
        <v>0</v>
      </c>
      <c r="AM15">
        <f t="shared" ref="AM15:AM16" si="41">(AM6-$AM$10)/($AM$11-$AM$10)</f>
        <v>0</v>
      </c>
      <c r="AN15">
        <f t="shared" ref="AN15:AN16" si="42">(AN6-$AN$10)/($AN$11-$AN$10)</f>
        <v>1</v>
      </c>
      <c r="AP15">
        <f t="shared" ref="AP15:AP16" si="43">(AP6-$AP$10)/($AP$11-$AP$10)</f>
        <v>1</v>
      </c>
      <c r="AQ15">
        <f t="shared" ref="AQ15:AQ16" si="44">(AQ6-$AQ$10)/($AQ$11-$AQ$10)</f>
        <v>0</v>
      </c>
      <c r="AR15">
        <f t="shared" ref="AR15:AR16" si="45">(AR6-$AR$10)/($AR$11-$AR$10)</f>
        <v>1</v>
      </c>
      <c r="AS15">
        <f t="shared" ref="AS15:AS16" si="46">(AS6-$AS$10)/($AS$11-$AS$10)</f>
        <v>1</v>
      </c>
      <c r="AT15">
        <f t="shared" ref="AT15:AT16" si="47">(AT6-$AT$10)/($AT$11-$AT$10)</f>
        <v>0</v>
      </c>
      <c r="AU15">
        <f t="shared" ref="AU15:AU16" si="48">(AU6-$AU$10)/($AU$11-$AU$10)</f>
        <v>0</v>
      </c>
      <c r="AV15">
        <f t="shared" ref="AV15:AV16" si="49">(AV6-$AV$10)/($AV$11-$AV$10)</f>
        <v>0</v>
      </c>
    </row>
    <row r="16" spans="1:48" x14ac:dyDescent="0.25">
      <c r="D16">
        <f t="shared" si="12"/>
        <v>0.6</v>
      </c>
      <c r="E16">
        <f t="shared" si="13"/>
        <v>0.39999999999999969</v>
      </c>
      <c r="F16">
        <f t="shared" si="14"/>
        <v>0.40000000000000047</v>
      </c>
      <c r="G16">
        <f t="shared" si="15"/>
        <v>0.39999999999999969</v>
      </c>
      <c r="H16">
        <f t="shared" si="16"/>
        <v>0.39999999999999969</v>
      </c>
      <c r="I16">
        <f t="shared" si="17"/>
        <v>0.40000000000000019</v>
      </c>
      <c r="J16">
        <f t="shared" si="18"/>
        <v>0.40000000000000041</v>
      </c>
      <c r="K16">
        <f t="shared" si="19"/>
        <v>0.59999999999999987</v>
      </c>
      <c r="L16">
        <f t="shared" si="20"/>
        <v>0.39999999999999969</v>
      </c>
      <c r="M16">
        <f t="shared" si="21"/>
        <v>0.59999999999999876</v>
      </c>
      <c r="N16">
        <f t="shared" si="22"/>
        <v>0.39999999999999969</v>
      </c>
      <c r="P16">
        <f t="shared" si="23"/>
        <v>0.39999999999999969</v>
      </c>
      <c r="Q16">
        <f t="shared" si="24"/>
        <v>0.4000000000000003</v>
      </c>
      <c r="R16">
        <f t="shared" si="25"/>
        <v>0.4</v>
      </c>
      <c r="S16">
        <f t="shared" ref="S16" si="50">(S7-$S$10)/($S$11-$S$10)</f>
        <v>0.59999999999999987</v>
      </c>
      <c r="T16">
        <f t="shared" si="26"/>
        <v>0.39999999999999969</v>
      </c>
      <c r="U16">
        <f t="shared" si="27"/>
        <v>0.40000000000000047</v>
      </c>
      <c r="W16">
        <f t="shared" si="28"/>
        <v>0.4</v>
      </c>
      <c r="X16">
        <f t="shared" si="29"/>
        <v>0.39999999999999969</v>
      </c>
      <c r="Y16">
        <f t="shared" si="30"/>
        <v>0.39999999999999969</v>
      </c>
      <c r="Z16">
        <f t="shared" si="31"/>
        <v>0.40000000000000041</v>
      </c>
      <c r="AB16">
        <f t="shared" si="32"/>
        <v>0.39999999999999969</v>
      </c>
      <c r="AC16">
        <f t="shared" si="33"/>
        <v>0.39999999999999969</v>
      </c>
      <c r="AD16">
        <f t="shared" si="34"/>
        <v>0.39999999999999969</v>
      </c>
      <c r="AE16">
        <f t="shared" si="35"/>
        <v>0.39999999999999836</v>
      </c>
      <c r="AG16">
        <f t="shared" si="36"/>
        <v>0.40000000000000047</v>
      </c>
      <c r="AH16">
        <f t="shared" si="37"/>
        <v>0.40000000000000036</v>
      </c>
      <c r="AI16">
        <f t="shared" si="38"/>
        <v>0.39999999999999969</v>
      </c>
      <c r="AJ16">
        <f t="shared" si="39"/>
        <v>0.40000000000000036</v>
      </c>
      <c r="AK16">
        <f t="shared" si="40"/>
        <v>0.39999999999999969</v>
      </c>
      <c r="AM16">
        <f t="shared" si="41"/>
        <v>0.39999999999999969</v>
      </c>
      <c r="AN16">
        <f t="shared" si="42"/>
        <v>0.59999999999999987</v>
      </c>
      <c r="AP16">
        <f t="shared" si="43"/>
        <v>0.59999999999999987</v>
      </c>
      <c r="AQ16">
        <f t="shared" si="44"/>
        <v>0.39999999999999969</v>
      </c>
      <c r="AR16">
        <f t="shared" si="45"/>
        <v>0.59999999999999987</v>
      </c>
      <c r="AS16">
        <f t="shared" si="46"/>
        <v>0.6</v>
      </c>
      <c r="AT16">
        <f t="shared" si="47"/>
        <v>0.40000000000000047</v>
      </c>
      <c r="AU16">
        <f t="shared" si="48"/>
        <v>0.39999999999999969</v>
      </c>
      <c r="AV16">
        <f t="shared" si="49"/>
        <v>0.40000000000000041</v>
      </c>
    </row>
    <row r="19" spans="3:48" x14ac:dyDescent="0.25">
      <c r="C19" s="5">
        <f>AVERAGE(D19:N19)</f>
        <v>72.727272727272734</v>
      </c>
      <c r="D19">
        <f>100*ROUND(D14,2)</f>
        <v>0</v>
      </c>
      <c r="E19">
        <f t="shared" ref="E19:N19" si="51">100*ROUND(E14,2)</f>
        <v>100</v>
      </c>
      <c r="F19">
        <f t="shared" si="51"/>
        <v>100</v>
      </c>
      <c r="G19">
        <f t="shared" si="51"/>
        <v>100</v>
      </c>
      <c r="H19">
        <f t="shared" si="51"/>
        <v>100</v>
      </c>
      <c r="I19">
        <f t="shared" si="51"/>
        <v>100</v>
      </c>
      <c r="J19">
        <f t="shared" si="51"/>
        <v>100</v>
      </c>
      <c r="K19">
        <f t="shared" si="51"/>
        <v>0</v>
      </c>
      <c r="L19">
        <f t="shared" si="51"/>
        <v>100</v>
      </c>
      <c r="M19">
        <f t="shared" si="51"/>
        <v>0</v>
      </c>
      <c r="N19">
        <f t="shared" si="51"/>
        <v>100</v>
      </c>
      <c r="O19" s="5">
        <f>AVERAGE(P19:U19)</f>
        <v>83.333333333333329</v>
      </c>
      <c r="P19">
        <f>100*ROUND(P14,2)</f>
        <v>100</v>
      </c>
      <c r="Q19">
        <f t="shared" ref="Q19:U19" si="52">100*ROUND(Q14,2)</f>
        <v>100</v>
      </c>
      <c r="R19">
        <f t="shared" si="52"/>
        <v>100</v>
      </c>
      <c r="S19">
        <f t="shared" si="52"/>
        <v>0</v>
      </c>
      <c r="T19">
        <f t="shared" si="52"/>
        <v>100</v>
      </c>
      <c r="U19">
        <f t="shared" si="52"/>
        <v>100</v>
      </c>
      <c r="V19" s="3">
        <f>AVERAGE(W19:Z19)</f>
        <v>100</v>
      </c>
      <c r="W19">
        <f>100*ROUND(W14,2)</f>
        <v>100</v>
      </c>
      <c r="X19">
        <f t="shared" ref="X19:Z19" si="53">100*ROUND(X14,2)</f>
        <v>100</v>
      </c>
      <c r="Y19">
        <f t="shared" si="53"/>
        <v>100</v>
      </c>
      <c r="Z19">
        <f t="shared" si="53"/>
        <v>100</v>
      </c>
      <c r="AA19" s="3">
        <f>AVERAGE(AB19:AE19)</f>
        <v>100</v>
      </c>
      <c r="AB19">
        <f>100*ROUND(AB14,2)</f>
        <v>100</v>
      </c>
      <c r="AC19">
        <f t="shared" ref="AC19:AE19" si="54">100*ROUND(AC14,2)</f>
        <v>100</v>
      </c>
      <c r="AD19">
        <f t="shared" si="54"/>
        <v>100</v>
      </c>
      <c r="AE19">
        <f t="shared" si="54"/>
        <v>100</v>
      </c>
      <c r="AF19" s="3">
        <f>AVERAGE(AG19:AK19)</f>
        <v>100</v>
      </c>
      <c r="AG19">
        <f>100*ROUND(AG14,2)</f>
        <v>100</v>
      </c>
      <c r="AH19">
        <f t="shared" ref="AH19:AK19" si="55">100*ROUND(AH14,2)</f>
        <v>100</v>
      </c>
      <c r="AI19">
        <f t="shared" si="55"/>
        <v>100</v>
      </c>
      <c r="AJ19">
        <f t="shared" si="55"/>
        <v>100</v>
      </c>
      <c r="AK19">
        <f t="shared" si="55"/>
        <v>100</v>
      </c>
      <c r="AL19" s="3">
        <f>AVERAGE(AM19:AN19)</f>
        <v>50</v>
      </c>
      <c r="AM19">
        <f>100*ROUND(AM14,2)</f>
        <v>100</v>
      </c>
      <c r="AN19">
        <f>100*ROUND(AN14,2)</f>
        <v>0</v>
      </c>
      <c r="AO19" s="5">
        <f>AVERAGE(AP19:AV19)</f>
        <v>57.142857142857146</v>
      </c>
      <c r="AP19">
        <f>100*ROUND(AP14,2)</f>
        <v>0</v>
      </c>
      <c r="AQ19">
        <f t="shared" ref="AQ19:AV19" si="56">100*ROUND(AQ14,2)</f>
        <v>100</v>
      </c>
      <c r="AR19">
        <f t="shared" si="56"/>
        <v>0</v>
      </c>
      <c r="AS19">
        <f t="shared" si="56"/>
        <v>0</v>
      </c>
      <c r="AT19">
        <f t="shared" si="56"/>
        <v>100</v>
      </c>
      <c r="AU19">
        <f t="shared" si="56"/>
        <v>100</v>
      </c>
      <c r="AV19">
        <f t="shared" si="56"/>
        <v>100</v>
      </c>
    </row>
    <row r="20" spans="3:48" x14ac:dyDescent="0.25">
      <c r="C20" s="5">
        <f t="shared" ref="C20:C21" si="57">AVERAGE(D20:N20)</f>
        <v>27.272727272727273</v>
      </c>
      <c r="D20">
        <f t="shared" ref="D20:N21" si="58">100*ROUND(D15,2)</f>
        <v>100</v>
      </c>
      <c r="E20">
        <f t="shared" si="58"/>
        <v>0</v>
      </c>
      <c r="F20">
        <f t="shared" si="58"/>
        <v>0</v>
      </c>
      <c r="G20">
        <f t="shared" si="58"/>
        <v>0</v>
      </c>
      <c r="H20">
        <f t="shared" si="58"/>
        <v>0</v>
      </c>
      <c r="I20">
        <f t="shared" si="58"/>
        <v>0</v>
      </c>
      <c r="J20">
        <f t="shared" si="58"/>
        <v>0</v>
      </c>
      <c r="K20">
        <f t="shared" si="58"/>
        <v>100</v>
      </c>
      <c r="L20">
        <f t="shared" si="58"/>
        <v>0</v>
      </c>
      <c r="M20">
        <f t="shared" si="58"/>
        <v>100</v>
      </c>
      <c r="N20">
        <f t="shared" si="58"/>
        <v>0</v>
      </c>
      <c r="O20" s="5">
        <f t="shared" ref="O20:O21" si="59">AVERAGE(P20:U20)</f>
        <v>16.666666666666668</v>
      </c>
      <c r="P20">
        <f t="shared" ref="P20:U21" si="60">100*ROUND(P15,2)</f>
        <v>0</v>
      </c>
      <c r="Q20">
        <f t="shared" si="60"/>
        <v>0</v>
      </c>
      <c r="R20">
        <f t="shared" si="60"/>
        <v>0</v>
      </c>
      <c r="S20">
        <f t="shared" si="60"/>
        <v>100</v>
      </c>
      <c r="T20">
        <f t="shared" si="60"/>
        <v>0</v>
      </c>
      <c r="U20">
        <f t="shared" si="60"/>
        <v>0</v>
      </c>
      <c r="V20" s="3">
        <f t="shared" ref="V20:V21" si="61">AVERAGE(W20:Z20)</f>
        <v>0</v>
      </c>
      <c r="W20">
        <f t="shared" ref="W20:Z21" si="62">100*ROUND(W15,2)</f>
        <v>0</v>
      </c>
      <c r="X20">
        <f t="shared" si="62"/>
        <v>0</v>
      </c>
      <c r="Y20">
        <f t="shared" si="62"/>
        <v>0</v>
      </c>
      <c r="Z20">
        <f t="shared" si="62"/>
        <v>0</v>
      </c>
      <c r="AA20" s="3">
        <f t="shared" ref="AA20:AA21" si="63">AVERAGE(AB20:AE20)</f>
        <v>0</v>
      </c>
      <c r="AB20">
        <f t="shared" ref="AB20:AE21" si="64">100*ROUND(AB15,2)</f>
        <v>0</v>
      </c>
      <c r="AC20">
        <f t="shared" si="64"/>
        <v>0</v>
      </c>
      <c r="AD20">
        <f t="shared" si="64"/>
        <v>0</v>
      </c>
      <c r="AE20">
        <f t="shared" si="64"/>
        <v>0</v>
      </c>
      <c r="AF20" s="3">
        <f t="shared" ref="AF20:AF21" si="65">AVERAGE(AG20:AK20)</f>
        <v>0</v>
      </c>
      <c r="AG20">
        <f t="shared" ref="AG20:AK21" si="66">100*ROUND(AG15,2)</f>
        <v>0</v>
      </c>
      <c r="AH20">
        <f t="shared" si="66"/>
        <v>0</v>
      </c>
      <c r="AI20">
        <f t="shared" si="66"/>
        <v>0</v>
      </c>
      <c r="AJ20">
        <f t="shared" si="66"/>
        <v>0</v>
      </c>
      <c r="AK20">
        <f t="shared" si="66"/>
        <v>0</v>
      </c>
      <c r="AL20" s="3">
        <f t="shared" ref="AL20:AL21" si="67">AVERAGE(AM20:AN20)</f>
        <v>50</v>
      </c>
      <c r="AM20">
        <f t="shared" ref="AM20:AN21" si="68">100*ROUND(AM15,2)</f>
        <v>0</v>
      </c>
      <c r="AN20">
        <f t="shared" si="68"/>
        <v>100</v>
      </c>
      <c r="AO20" s="5">
        <f t="shared" ref="AO20:AO21" si="69">AVERAGE(AP20:AV20)</f>
        <v>42.857142857142854</v>
      </c>
      <c r="AP20">
        <f t="shared" ref="AP20:AV21" si="70">100*ROUND(AP15,2)</f>
        <v>100</v>
      </c>
      <c r="AQ20">
        <f t="shared" si="70"/>
        <v>0</v>
      </c>
      <c r="AR20">
        <f t="shared" si="70"/>
        <v>100</v>
      </c>
      <c r="AS20">
        <f t="shared" si="70"/>
        <v>100</v>
      </c>
      <c r="AT20">
        <f t="shared" si="70"/>
        <v>0</v>
      </c>
      <c r="AU20">
        <f t="shared" si="70"/>
        <v>0</v>
      </c>
      <c r="AV20">
        <f t="shared" si="70"/>
        <v>0</v>
      </c>
    </row>
    <row r="21" spans="3:48" x14ac:dyDescent="0.25">
      <c r="C21" s="5">
        <f t="shared" si="57"/>
        <v>45.454545454545453</v>
      </c>
      <c r="D21">
        <f t="shared" si="58"/>
        <v>60</v>
      </c>
      <c r="E21">
        <f t="shared" si="58"/>
        <v>40</v>
      </c>
      <c r="F21">
        <f t="shared" si="58"/>
        <v>40</v>
      </c>
      <c r="G21">
        <f t="shared" si="58"/>
        <v>40</v>
      </c>
      <c r="H21">
        <f t="shared" si="58"/>
        <v>40</v>
      </c>
      <c r="I21">
        <f t="shared" si="58"/>
        <v>40</v>
      </c>
      <c r="J21">
        <f t="shared" si="58"/>
        <v>40</v>
      </c>
      <c r="K21">
        <f t="shared" si="58"/>
        <v>60</v>
      </c>
      <c r="L21">
        <f t="shared" si="58"/>
        <v>40</v>
      </c>
      <c r="M21">
        <f t="shared" si="58"/>
        <v>60</v>
      </c>
      <c r="N21">
        <f t="shared" si="58"/>
        <v>40</v>
      </c>
      <c r="O21" s="5">
        <f t="shared" si="59"/>
        <v>43.333333333333336</v>
      </c>
      <c r="P21">
        <f t="shared" si="60"/>
        <v>40</v>
      </c>
      <c r="Q21">
        <f t="shared" si="60"/>
        <v>40</v>
      </c>
      <c r="R21">
        <f t="shared" si="60"/>
        <v>40</v>
      </c>
      <c r="S21">
        <f t="shared" si="60"/>
        <v>60</v>
      </c>
      <c r="T21">
        <f t="shared" si="60"/>
        <v>40</v>
      </c>
      <c r="U21">
        <f t="shared" si="60"/>
        <v>40</v>
      </c>
      <c r="V21" s="3">
        <f t="shared" si="61"/>
        <v>40</v>
      </c>
      <c r="W21">
        <f t="shared" si="62"/>
        <v>40</v>
      </c>
      <c r="X21">
        <f t="shared" si="62"/>
        <v>40</v>
      </c>
      <c r="Y21">
        <f t="shared" si="62"/>
        <v>40</v>
      </c>
      <c r="Z21">
        <f t="shared" si="62"/>
        <v>40</v>
      </c>
      <c r="AA21" s="3">
        <f t="shared" si="63"/>
        <v>40</v>
      </c>
      <c r="AB21">
        <f t="shared" si="64"/>
        <v>40</v>
      </c>
      <c r="AC21">
        <f t="shared" si="64"/>
        <v>40</v>
      </c>
      <c r="AD21">
        <f t="shared" si="64"/>
        <v>40</v>
      </c>
      <c r="AE21">
        <f t="shared" si="64"/>
        <v>40</v>
      </c>
      <c r="AF21" s="3">
        <f t="shared" si="65"/>
        <v>40</v>
      </c>
      <c r="AG21">
        <f t="shared" si="66"/>
        <v>40</v>
      </c>
      <c r="AH21">
        <f t="shared" si="66"/>
        <v>40</v>
      </c>
      <c r="AI21">
        <f t="shared" si="66"/>
        <v>40</v>
      </c>
      <c r="AJ21">
        <f t="shared" si="66"/>
        <v>40</v>
      </c>
      <c r="AK21">
        <f t="shared" si="66"/>
        <v>40</v>
      </c>
      <c r="AL21" s="3">
        <f t="shared" si="67"/>
        <v>50</v>
      </c>
      <c r="AM21">
        <f t="shared" si="68"/>
        <v>40</v>
      </c>
      <c r="AN21">
        <f t="shared" si="68"/>
        <v>60</v>
      </c>
      <c r="AO21" s="5">
        <f t="shared" si="69"/>
        <v>48.571428571428569</v>
      </c>
      <c r="AP21">
        <f t="shared" si="70"/>
        <v>60</v>
      </c>
      <c r="AQ21">
        <f t="shared" si="70"/>
        <v>40</v>
      </c>
      <c r="AR21">
        <f t="shared" si="70"/>
        <v>60</v>
      </c>
      <c r="AS21">
        <f t="shared" si="70"/>
        <v>60</v>
      </c>
      <c r="AT21">
        <f t="shared" si="70"/>
        <v>40</v>
      </c>
      <c r="AU21">
        <f t="shared" si="70"/>
        <v>40</v>
      </c>
      <c r="AV21">
        <f t="shared" si="70"/>
        <v>40</v>
      </c>
    </row>
    <row r="28" spans="3:48" x14ac:dyDescent="0.25">
      <c r="C28" s="3" t="s">
        <v>59</v>
      </c>
      <c r="O28" s="3" t="s">
        <v>60</v>
      </c>
      <c r="V28" s="3" t="s">
        <v>61</v>
      </c>
      <c r="AA28" s="3" t="s">
        <v>62</v>
      </c>
      <c r="AF28" s="3" t="s">
        <v>63</v>
      </c>
      <c r="AL28" s="3" t="s">
        <v>64</v>
      </c>
      <c r="AO28" s="3" t="s">
        <v>65</v>
      </c>
    </row>
    <row r="29" spans="3:48" x14ac:dyDescent="0.25">
      <c r="C29" s="6">
        <v>0.11449874</v>
      </c>
      <c r="O29" s="6">
        <v>0.19552865</v>
      </c>
      <c r="V29" s="6">
        <v>0.16123135999999999</v>
      </c>
      <c r="AA29" s="6">
        <v>0.1934073</v>
      </c>
      <c r="AF29" s="6">
        <v>0.17138497</v>
      </c>
      <c r="AL29" s="6">
        <v>6.7672369999999996E-2</v>
      </c>
      <c r="AO29" s="6">
        <v>9.6276600000000004E-2</v>
      </c>
    </row>
    <row r="34" spans="3:9" x14ac:dyDescent="0.25">
      <c r="C34" s="7">
        <v>72.727272727272705</v>
      </c>
      <c r="D34" s="7">
        <v>83.333333333333329</v>
      </c>
      <c r="E34">
        <v>100</v>
      </c>
      <c r="F34">
        <v>100</v>
      </c>
      <c r="G34">
        <v>100</v>
      </c>
      <c r="H34">
        <v>50</v>
      </c>
      <c r="I34" s="7">
        <v>57.142857142857146</v>
      </c>
    </row>
    <row r="35" spans="3:9" x14ac:dyDescent="0.25">
      <c r="C35" s="7">
        <v>27.272727272727273</v>
      </c>
      <c r="D35" s="7">
        <v>16.666666666666668</v>
      </c>
      <c r="E35">
        <v>0</v>
      </c>
      <c r="F35">
        <v>0</v>
      </c>
      <c r="G35">
        <v>0</v>
      </c>
      <c r="H35">
        <v>50</v>
      </c>
      <c r="I35" s="7">
        <v>42.857142857142854</v>
      </c>
    </row>
    <row r="36" spans="3:9" x14ac:dyDescent="0.25">
      <c r="C36" s="7">
        <v>45.454545454545453</v>
      </c>
      <c r="D36" s="7">
        <v>43.333333333333336</v>
      </c>
      <c r="E36">
        <v>40</v>
      </c>
      <c r="F36">
        <v>40</v>
      </c>
      <c r="G36">
        <v>40</v>
      </c>
      <c r="H36">
        <v>50</v>
      </c>
      <c r="I36" s="7">
        <v>48.571428571428569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2026-01-13T17:24:31Z</dcterms:modified>
</cp:coreProperties>
</file>