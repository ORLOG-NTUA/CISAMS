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Plastics\"/>
    </mc:Choice>
  </mc:AlternateContent>
  <xr:revisionPtr revIDLastSave="0" documentId="13_ncr:1_{56484932-612D-4978-8D0F-3344500BE8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1" l="1"/>
  <c r="S50" i="1" l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49" i="1"/>
  <c r="U49" i="1"/>
  <c r="V49" i="1"/>
  <c r="W49" i="1"/>
  <c r="U50" i="1"/>
  <c r="V50" i="1"/>
  <c r="W50" i="1"/>
  <c r="U51" i="1"/>
  <c r="V51" i="1"/>
  <c r="W51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U64" i="1"/>
  <c r="V64" i="1"/>
  <c r="W64" i="1"/>
  <c r="U65" i="1"/>
  <c r="V65" i="1"/>
  <c r="W65" i="1"/>
  <c r="U66" i="1"/>
  <c r="V66" i="1"/>
  <c r="W66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4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29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29" i="1"/>
  <c r="U26" i="1"/>
  <c r="V26" i="1"/>
  <c r="W26" i="1"/>
  <c r="T26" i="1"/>
  <c r="U25" i="1"/>
  <c r="V25" i="1"/>
  <c r="W25" i="1"/>
  <c r="T25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49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4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29" i="1"/>
  <c r="L30" i="1"/>
  <c r="L31" i="1"/>
  <c r="L32" i="1"/>
  <c r="L33" i="1"/>
  <c r="L34" i="1"/>
  <c r="L54" i="1" s="1"/>
  <c r="L35" i="1"/>
  <c r="L55" i="1" s="1"/>
  <c r="L36" i="1"/>
  <c r="L37" i="1"/>
  <c r="L57" i="1" s="1"/>
  <c r="L38" i="1"/>
  <c r="L39" i="1"/>
  <c r="L40" i="1"/>
  <c r="L41" i="1"/>
  <c r="L42" i="1"/>
  <c r="L43" i="1"/>
  <c r="L63" i="1" s="1"/>
  <c r="L44" i="1"/>
  <c r="L64" i="1" s="1"/>
  <c r="L45" i="1"/>
  <c r="L65" i="1" s="1"/>
  <c r="L46" i="1"/>
  <c r="L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29" i="1"/>
  <c r="Q26" i="1"/>
  <c r="Q25" i="1"/>
  <c r="R26" i="1"/>
  <c r="R25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49" i="1"/>
  <c r="N49" i="1"/>
  <c r="L66" i="1"/>
  <c r="K66" i="1"/>
  <c r="K65" i="1"/>
  <c r="K64" i="1"/>
  <c r="K63" i="1"/>
  <c r="L62" i="1"/>
  <c r="K62" i="1"/>
  <c r="L61" i="1"/>
  <c r="K61" i="1"/>
  <c r="L60" i="1"/>
  <c r="K60" i="1"/>
  <c r="L59" i="1"/>
  <c r="K59" i="1"/>
  <c r="L58" i="1"/>
  <c r="K58" i="1"/>
  <c r="K57" i="1"/>
  <c r="L56" i="1"/>
  <c r="K56" i="1"/>
  <c r="K55" i="1"/>
  <c r="K54" i="1"/>
  <c r="L53" i="1"/>
  <c r="K53" i="1"/>
  <c r="L52" i="1"/>
  <c r="K52" i="1"/>
  <c r="L51" i="1"/>
  <c r="K51" i="1"/>
  <c r="L50" i="1"/>
  <c r="K50" i="1"/>
  <c r="L49" i="1"/>
  <c r="K4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29" i="1"/>
  <c r="L26" i="1"/>
  <c r="M26" i="1"/>
  <c r="N26" i="1"/>
  <c r="K26" i="1"/>
  <c r="L25" i="1"/>
  <c r="M25" i="1"/>
  <c r="N25" i="1"/>
  <c r="K25" i="1"/>
  <c r="K36" i="1" s="1"/>
  <c r="H26" i="1"/>
  <c r="G26" i="1"/>
  <c r="H25" i="1"/>
  <c r="H36" i="1" s="1"/>
  <c r="H56" i="1" s="1"/>
  <c r="G25" i="1"/>
  <c r="G34" i="1" s="1"/>
  <c r="G54" i="1" s="1"/>
  <c r="D34" i="1"/>
  <c r="D54" i="1" s="1"/>
  <c r="D42" i="1"/>
  <c r="D62" i="1" s="1"/>
  <c r="E26" i="1"/>
  <c r="E45" i="1" s="1"/>
  <c r="E65" i="1" s="1"/>
  <c r="D26" i="1"/>
  <c r="E25" i="1"/>
  <c r="E39" i="1" s="1"/>
  <c r="E59" i="1" s="1"/>
  <c r="D25" i="1"/>
  <c r="D44" i="1" s="1"/>
  <c r="D64" i="1" s="1"/>
  <c r="G33" i="1" l="1"/>
  <c r="G53" i="1" s="1"/>
  <c r="F53" i="1" s="1"/>
  <c r="E29" i="1"/>
  <c r="E49" i="1" s="1"/>
  <c r="H41" i="1"/>
  <c r="H61" i="1" s="1"/>
  <c r="K41" i="1"/>
  <c r="E32" i="1"/>
  <c r="E52" i="1" s="1"/>
  <c r="E37" i="1"/>
  <c r="E57" i="1" s="1"/>
  <c r="H35" i="1"/>
  <c r="H55" i="1" s="1"/>
  <c r="H43" i="1"/>
  <c r="H63" i="1" s="1"/>
  <c r="E31" i="1"/>
  <c r="E51" i="1" s="1"/>
  <c r="H33" i="1"/>
  <c r="H53" i="1" s="1"/>
  <c r="K43" i="1"/>
  <c r="K35" i="1"/>
  <c r="D41" i="1"/>
  <c r="D61" i="1" s="1"/>
  <c r="D33" i="1"/>
  <c r="D53" i="1" s="1"/>
  <c r="E46" i="1"/>
  <c r="E66" i="1" s="1"/>
  <c r="E38" i="1"/>
  <c r="E58" i="1" s="1"/>
  <c r="E30" i="1"/>
  <c r="E50" i="1" s="1"/>
  <c r="G40" i="1"/>
  <c r="G60" i="1" s="1"/>
  <c r="G32" i="1"/>
  <c r="G52" i="1" s="1"/>
  <c r="H42" i="1"/>
  <c r="H62" i="1" s="1"/>
  <c r="H34" i="1"/>
  <c r="H54" i="1" s="1"/>
  <c r="F54" i="1" s="1"/>
  <c r="K42" i="1"/>
  <c r="K34" i="1"/>
  <c r="D32" i="1"/>
  <c r="D52" i="1" s="1"/>
  <c r="G31" i="1"/>
  <c r="G51" i="1" s="1"/>
  <c r="K33" i="1"/>
  <c r="D39" i="1"/>
  <c r="D59" i="1" s="1"/>
  <c r="D31" i="1"/>
  <c r="D51" i="1" s="1"/>
  <c r="E44" i="1"/>
  <c r="E64" i="1" s="1"/>
  <c r="E36" i="1"/>
  <c r="E56" i="1" s="1"/>
  <c r="G46" i="1"/>
  <c r="G66" i="1" s="1"/>
  <c r="G38" i="1"/>
  <c r="G58" i="1" s="1"/>
  <c r="G30" i="1"/>
  <c r="G50" i="1" s="1"/>
  <c r="H40" i="1"/>
  <c r="H60" i="1" s="1"/>
  <c r="H32" i="1"/>
  <c r="H52" i="1" s="1"/>
  <c r="K40" i="1"/>
  <c r="K32" i="1"/>
  <c r="G41" i="1"/>
  <c r="G61" i="1" s="1"/>
  <c r="F61" i="1" s="1"/>
  <c r="G39" i="1"/>
  <c r="G59" i="1" s="1"/>
  <c r="D38" i="1"/>
  <c r="D58" i="1" s="1"/>
  <c r="D30" i="1"/>
  <c r="D50" i="1" s="1"/>
  <c r="E43" i="1"/>
  <c r="E63" i="1" s="1"/>
  <c r="E35" i="1"/>
  <c r="E55" i="1" s="1"/>
  <c r="G45" i="1"/>
  <c r="G65" i="1" s="1"/>
  <c r="G37" i="1"/>
  <c r="G57" i="1" s="1"/>
  <c r="H29" i="1"/>
  <c r="H49" i="1" s="1"/>
  <c r="H39" i="1"/>
  <c r="H59" i="1" s="1"/>
  <c r="H31" i="1"/>
  <c r="H51" i="1" s="1"/>
  <c r="K29" i="1"/>
  <c r="K39" i="1"/>
  <c r="K31" i="1"/>
  <c r="G29" i="1"/>
  <c r="G49" i="1" s="1"/>
  <c r="D37" i="1"/>
  <c r="D57" i="1" s="1"/>
  <c r="D46" i="1"/>
  <c r="D66" i="1" s="1"/>
  <c r="E42" i="1"/>
  <c r="E62" i="1" s="1"/>
  <c r="E34" i="1"/>
  <c r="E54" i="1" s="1"/>
  <c r="G44" i="1"/>
  <c r="G64" i="1" s="1"/>
  <c r="G36" i="1"/>
  <c r="G56" i="1" s="1"/>
  <c r="F56" i="1" s="1"/>
  <c r="H46" i="1"/>
  <c r="H66" i="1" s="1"/>
  <c r="H38" i="1"/>
  <c r="H58" i="1" s="1"/>
  <c r="H30" i="1"/>
  <c r="H50" i="1" s="1"/>
  <c r="K46" i="1"/>
  <c r="K38" i="1"/>
  <c r="K30" i="1"/>
  <c r="D40" i="1"/>
  <c r="D60" i="1" s="1"/>
  <c r="D29" i="1"/>
  <c r="D49" i="1" s="1"/>
  <c r="D36" i="1"/>
  <c r="D56" i="1" s="1"/>
  <c r="D45" i="1"/>
  <c r="D65" i="1" s="1"/>
  <c r="E41" i="1"/>
  <c r="E61" i="1" s="1"/>
  <c r="E33" i="1"/>
  <c r="E53" i="1" s="1"/>
  <c r="G43" i="1"/>
  <c r="G63" i="1" s="1"/>
  <c r="F63" i="1" s="1"/>
  <c r="G35" i="1"/>
  <c r="G55" i="1" s="1"/>
  <c r="H45" i="1"/>
  <c r="H65" i="1" s="1"/>
  <c r="H37" i="1"/>
  <c r="H57" i="1" s="1"/>
  <c r="K45" i="1"/>
  <c r="K37" i="1"/>
  <c r="D43" i="1"/>
  <c r="D63" i="1" s="1"/>
  <c r="D35" i="1"/>
  <c r="D55" i="1" s="1"/>
  <c r="E40" i="1"/>
  <c r="E60" i="1" s="1"/>
  <c r="G42" i="1"/>
  <c r="G62" i="1" s="1"/>
  <c r="F62" i="1" s="1"/>
  <c r="H44" i="1"/>
  <c r="H64" i="1" s="1"/>
  <c r="K44" i="1"/>
  <c r="F49" i="1" l="1"/>
  <c r="F65" i="1"/>
  <c r="F55" i="1"/>
  <c r="F64" i="1"/>
  <c r="F59" i="1"/>
  <c r="F50" i="1"/>
  <c r="F51" i="1"/>
  <c r="F52" i="1"/>
  <c r="F60" i="1"/>
  <c r="F58" i="1"/>
  <c r="F57" i="1"/>
  <c r="F66" i="1"/>
</calcChain>
</file>

<file path=xl/sharedStrings.xml><?xml version="1.0" encoding="utf-8"?>
<sst xmlns="http://schemas.openxmlformats.org/spreadsheetml/2006/main" count="69" uniqueCount="57">
  <si>
    <t>System Level Circularity</t>
  </si>
  <si>
    <t>C1</t>
  </si>
  <si>
    <t>MAX</t>
  </si>
  <si>
    <t>I11</t>
  </si>
  <si>
    <t>I12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</si>
  <si>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</si>
  <si>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</si>
  <si>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</si>
  <si>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</si>
  <si>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</si>
  <si>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</si>
  <si>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</si>
  <si>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</si>
  <si>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</si>
  <si>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</si>
  <si>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</si>
  <si>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</si>
  <si>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</si>
  <si>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</si>
  <si>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</si>
  <si>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</si>
  <si>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</si>
  <si>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</si>
  <si>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min</t>
  </si>
  <si>
    <t>max</t>
  </si>
  <si>
    <t>Product Design &amp; Adaptability</t>
  </si>
  <si>
    <t>C2</t>
  </si>
  <si>
    <t>I21</t>
  </si>
  <si>
    <t>I22</t>
  </si>
  <si>
    <t>Disassembly &amp; Repair</t>
  </si>
  <si>
    <t>C3</t>
  </si>
  <si>
    <t>Material Input &amp; Composition</t>
  </si>
  <si>
    <t>C4</t>
  </si>
  <si>
    <t>MIN</t>
  </si>
  <si>
    <t>I41</t>
  </si>
  <si>
    <t>I42</t>
  </si>
  <si>
    <t>I43</t>
  </si>
  <si>
    <t>I44</t>
  </si>
  <si>
    <r>
      <t>Reuse, Remanufacturing &amp; Refurbishment</t>
    </r>
    <r>
      <rPr>
        <sz val="11"/>
        <color rgb="FF202124"/>
        <rFont val="Roboto"/>
      </rPr>
      <t> </t>
    </r>
  </si>
  <si>
    <t>C5</t>
  </si>
  <si>
    <t>Efficiency &amp; Value Performance</t>
  </si>
  <si>
    <t>C6</t>
  </si>
  <si>
    <t>I61</t>
  </si>
  <si>
    <t>I62</t>
  </si>
  <si>
    <t>Waste Generation &amp; Management</t>
  </si>
  <si>
    <t>C7</t>
  </si>
  <si>
    <t>I71</t>
  </si>
  <si>
    <t>I72</t>
  </si>
  <si>
    <t>I73</t>
  </si>
  <si>
    <t>I74</t>
  </si>
  <si>
    <t>Recycling Performance</t>
  </si>
  <si>
    <t>C8</t>
  </si>
  <si>
    <t>Resource Retention &amp; Product Lifespan</t>
  </si>
  <si>
    <t>C9</t>
  </si>
  <si>
    <t>W2</t>
  </si>
  <si>
    <t>W6</t>
  </si>
  <si>
    <t>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</si>
</sst>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sz val="8"/>
      <name val="Calibri"/>
      <family val="2"/>
      <scheme val="minor"/>
    </font>
    <font>
      <sz val="11"/>
      <color rgb="FF202124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" fontId="0" fillId="0" borderId="0" xfId="0" applyNumberFormat="1"/>
    <xf numFmtId="164" fontId="0" fillId="2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tabSelected="1" topLeftCell="I56" zoomScale="80" zoomScaleNormal="80" workbookViewId="0">
      <selection activeCell="S73" sqref="S73"/>
    </sheetView>
  </sheetViews>
  <sheetFormatPr defaultRowHeight="15" x14ac:dyDescent="0.25"/>
  <cols>
    <col min="3" max="3" width="25.140625" bestFit="1" customWidth="1"/>
    <col min="6" max="6" width="30.7109375" bestFit="1" customWidth="1"/>
    <col min="9" max="9" width="22.85546875" bestFit="1" customWidth="1"/>
    <col min="10" max="10" width="30" bestFit="1" customWidth="1"/>
    <col min="15" max="15" width="43" bestFit="1" customWidth="1"/>
    <col min="16" max="16" width="32.28515625" bestFit="1" customWidth="1"/>
    <col min="19" max="19" width="33.85546875" bestFit="1" customWidth="1"/>
    <col min="24" max="24" width="24" bestFit="1" customWidth="1"/>
    <col min="25" max="25" width="40" bestFit="1" customWidth="1"/>
  </cols>
  <sheetData>
    <row r="1" spans="1:25" x14ac:dyDescent="0.25">
      <c r="C1" s="1" t="s">
        <v>0</v>
      </c>
      <c r="F1" s="1" t="s">
        <v>25</v>
      </c>
      <c r="I1" s="4" t="s">
        <v>29</v>
      </c>
      <c r="J1" s="1" t="s">
        <v>31</v>
      </c>
      <c r="O1" s="4" t="s">
        <v>38</v>
      </c>
      <c r="P1" s="1" t="s">
        <v>40</v>
      </c>
      <c r="S1" s="1" t="s">
        <v>44</v>
      </c>
      <c r="X1" s="4" t="s">
        <v>50</v>
      </c>
      <c r="Y1" s="4" t="s">
        <v>52</v>
      </c>
    </row>
    <row r="2" spans="1:25" x14ac:dyDescent="0.25">
      <c r="C2" s="2" t="s">
        <v>1</v>
      </c>
      <c r="F2" s="2" t="s">
        <v>26</v>
      </c>
      <c r="I2" s="5" t="s">
        <v>30</v>
      </c>
      <c r="J2" s="2" t="s">
        <v>32</v>
      </c>
      <c r="O2" s="5" t="s">
        <v>39</v>
      </c>
      <c r="P2" s="2" t="s">
        <v>41</v>
      </c>
      <c r="S2" s="2" t="s">
        <v>45</v>
      </c>
      <c r="X2" s="5" t="s">
        <v>51</v>
      </c>
      <c r="Y2" s="5" t="s">
        <v>53</v>
      </c>
    </row>
    <row r="3" spans="1:25" x14ac:dyDescent="0.25">
      <c r="D3" s="3" t="s">
        <v>2</v>
      </c>
      <c r="E3" s="3" t="s">
        <v>2</v>
      </c>
      <c r="G3" t="s">
        <v>2</v>
      </c>
      <c r="H3" t="s">
        <v>2</v>
      </c>
      <c r="K3" t="s">
        <v>2</v>
      </c>
      <c r="L3" t="s">
        <v>33</v>
      </c>
      <c r="M3" t="s">
        <v>2</v>
      </c>
      <c r="N3" t="s">
        <v>2</v>
      </c>
      <c r="Q3" t="s">
        <v>2</v>
      </c>
      <c r="R3" t="s">
        <v>33</v>
      </c>
      <c r="T3" t="s">
        <v>33</v>
      </c>
      <c r="U3" t="s">
        <v>33</v>
      </c>
      <c r="V3" t="s">
        <v>33</v>
      </c>
      <c r="W3" t="s">
        <v>33</v>
      </c>
    </row>
    <row r="4" spans="1:25" x14ac:dyDescent="0.25">
      <c r="D4" s="3" t="s">
        <v>3</v>
      </c>
      <c r="E4" s="3" t="s">
        <v>4</v>
      </c>
      <c r="G4" t="s">
        <v>27</v>
      </c>
      <c r="H4" t="s">
        <v>28</v>
      </c>
      <c r="K4" t="s">
        <v>34</v>
      </c>
      <c r="L4" t="s">
        <v>35</v>
      </c>
      <c r="M4" t="s">
        <v>36</v>
      </c>
      <c r="N4" t="s">
        <v>37</v>
      </c>
      <c r="Q4" t="s">
        <v>42</v>
      </c>
      <c r="R4" t="s">
        <v>43</v>
      </c>
      <c r="T4" t="s">
        <v>46</v>
      </c>
      <c r="U4" t="s">
        <v>47</v>
      </c>
      <c r="V4" t="s">
        <v>48</v>
      </c>
      <c r="W4" t="s">
        <v>49</v>
      </c>
    </row>
    <row r="5" spans="1:25" x14ac:dyDescent="0.25">
      <c r="A5" t="s">
        <v>5</v>
      </c>
      <c r="D5">
        <v>0</v>
      </c>
      <c r="E5">
        <v>0</v>
      </c>
      <c r="G5">
        <v>4</v>
      </c>
      <c r="H5">
        <v>4.5</v>
      </c>
      <c r="K5" s="6">
        <v>0</v>
      </c>
      <c r="L5" s="6">
        <v>1</v>
      </c>
      <c r="M5" s="6">
        <v>0</v>
      </c>
      <c r="N5" s="6">
        <v>1</v>
      </c>
      <c r="Q5">
        <v>0.95</v>
      </c>
      <c r="R5">
        <v>1.5800000000000036E-2</v>
      </c>
      <c r="S5" s="6"/>
      <c r="T5">
        <v>1.5800000000000036E-2</v>
      </c>
      <c r="U5">
        <v>0</v>
      </c>
      <c r="V5">
        <v>1.5800000000000036E-2</v>
      </c>
      <c r="W5">
        <v>0</v>
      </c>
    </row>
    <row r="6" spans="1:25" x14ac:dyDescent="0.25">
      <c r="A6" t="s">
        <v>6</v>
      </c>
      <c r="D6">
        <v>0</v>
      </c>
      <c r="E6">
        <v>0</v>
      </c>
      <c r="G6">
        <v>4</v>
      </c>
      <c r="H6">
        <v>4.5</v>
      </c>
      <c r="K6" s="6">
        <v>0</v>
      </c>
      <c r="L6" s="6">
        <v>1</v>
      </c>
      <c r="M6" s="6">
        <v>0</v>
      </c>
      <c r="N6" s="6">
        <v>1</v>
      </c>
      <c r="Q6">
        <v>0.95</v>
      </c>
      <c r="R6">
        <v>1.5800000000000036E-2</v>
      </c>
      <c r="S6" s="6"/>
      <c r="T6">
        <v>1.5800000000000036E-2</v>
      </c>
      <c r="U6">
        <v>0</v>
      </c>
      <c r="V6">
        <v>1.5800000000000036E-2</v>
      </c>
      <c r="W6">
        <v>0</v>
      </c>
    </row>
    <row r="7" spans="1:25" x14ac:dyDescent="0.25">
      <c r="A7" t="s">
        <v>7</v>
      </c>
      <c r="D7">
        <v>0</v>
      </c>
      <c r="E7">
        <v>0</v>
      </c>
      <c r="G7">
        <v>4</v>
      </c>
      <c r="H7">
        <v>4.5</v>
      </c>
      <c r="K7" s="6">
        <v>0</v>
      </c>
      <c r="L7" s="6">
        <v>1</v>
      </c>
      <c r="M7" s="6">
        <v>0</v>
      </c>
      <c r="N7" s="6">
        <v>1</v>
      </c>
      <c r="Q7">
        <v>0.95</v>
      </c>
      <c r="R7">
        <v>1.5800000000000036E-2</v>
      </c>
      <c r="S7" s="6"/>
      <c r="T7">
        <v>1.5800000000000036E-2</v>
      </c>
      <c r="U7">
        <v>0</v>
      </c>
      <c r="V7">
        <v>1.5800000000000036E-2</v>
      </c>
      <c r="W7">
        <v>0</v>
      </c>
    </row>
    <row r="8" spans="1:25" x14ac:dyDescent="0.25">
      <c r="A8" t="s">
        <v>8</v>
      </c>
      <c r="D8">
        <v>0</v>
      </c>
      <c r="E8">
        <v>0</v>
      </c>
      <c r="G8">
        <v>4</v>
      </c>
      <c r="H8">
        <v>4.5</v>
      </c>
      <c r="K8" s="6">
        <v>0</v>
      </c>
      <c r="L8" s="6">
        <v>1</v>
      </c>
      <c r="M8" s="6">
        <v>0</v>
      </c>
      <c r="N8" s="6">
        <v>1</v>
      </c>
      <c r="Q8">
        <v>0.95</v>
      </c>
      <c r="R8">
        <v>1.5800000000000036E-2</v>
      </c>
      <c r="S8" s="6"/>
      <c r="T8">
        <v>1.5800000000000036E-2</v>
      </c>
      <c r="U8">
        <v>0</v>
      </c>
      <c r="V8">
        <v>1.5800000000000036E-2</v>
      </c>
      <c r="W8">
        <v>0</v>
      </c>
    </row>
    <row r="9" spans="1:25" x14ac:dyDescent="0.25">
      <c r="A9" t="s">
        <v>9</v>
      </c>
      <c r="D9">
        <v>0</v>
      </c>
      <c r="E9">
        <v>0</v>
      </c>
      <c r="G9">
        <v>3</v>
      </c>
      <c r="H9">
        <v>4</v>
      </c>
      <c r="K9" s="6">
        <v>0</v>
      </c>
      <c r="L9" s="6">
        <v>1</v>
      </c>
      <c r="M9" s="6">
        <v>0</v>
      </c>
      <c r="N9" s="6">
        <v>1</v>
      </c>
      <c r="Q9">
        <v>1</v>
      </c>
      <c r="R9">
        <v>0</v>
      </c>
      <c r="S9" s="6"/>
      <c r="T9">
        <v>0</v>
      </c>
      <c r="U9">
        <v>0</v>
      </c>
      <c r="V9">
        <v>0</v>
      </c>
      <c r="W9">
        <v>0</v>
      </c>
    </row>
    <row r="10" spans="1:25" x14ac:dyDescent="0.25">
      <c r="A10" t="s">
        <v>10</v>
      </c>
      <c r="D10">
        <v>0</v>
      </c>
      <c r="E10">
        <v>0</v>
      </c>
      <c r="G10">
        <v>3</v>
      </c>
      <c r="H10">
        <v>4</v>
      </c>
      <c r="K10" s="6">
        <v>0</v>
      </c>
      <c r="L10" s="6">
        <v>1</v>
      </c>
      <c r="M10" s="6">
        <v>0</v>
      </c>
      <c r="N10" s="6">
        <v>1</v>
      </c>
      <c r="Q10">
        <v>1</v>
      </c>
      <c r="R10">
        <v>0</v>
      </c>
      <c r="S10" s="6"/>
      <c r="T10">
        <v>0</v>
      </c>
      <c r="U10">
        <v>0</v>
      </c>
      <c r="V10">
        <v>0</v>
      </c>
      <c r="W10">
        <v>0</v>
      </c>
    </row>
    <row r="11" spans="1:25" x14ac:dyDescent="0.25">
      <c r="A11" t="s">
        <v>11</v>
      </c>
      <c r="D11">
        <v>0</v>
      </c>
      <c r="E11">
        <v>0</v>
      </c>
      <c r="G11">
        <v>3</v>
      </c>
      <c r="H11">
        <v>4</v>
      </c>
      <c r="K11" s="6">
        <v>0</v>
      </c>
      <c r="L11" s="6">
        <v>1</v>
      </c>
      <c r="M11" s="6">
        <v>0</v>
      </c>
      <c r="N11" s="6">
        <v>1</v>
      </c>
      <c r="Q11">
        <v>1</v>
      </c>
      <c r="R11">
        <v>0</v>
      </c>
      <c r="S11" s="6"/>
      <c r="T11">
        <v>0</v>
      </c>
      <c r="U11">
        <v>0</v>
      </c>
      <c r="V11">
        <v>0</v>
      </c>
      <c r="W11">
        <v>0</v>
      </c>
    </row>
    <row r="12" spans="1:25" x14ac:dyDescent="0.25">
      <c r="A12" t="s">
        <v>12</v>
      </c>
      <c r="D12">
        <v>0</v>
      </c>
      <c r="E12">
        <v>0</v>
      </c>
      <c r="G12">
        <v>3</v>
      </c>
      <c r="H12">
        <v>4</v>
      </c>
      <c r="K12" s="6">
        <v>0</v>
      </c>
      <c r="L12" s="6">
        <v>1</v>
      </c>
      <c r="M12" s="6">
        <v>0</v>
      </c>
      <c r="N12" s="6">
        <v>1</v>
      </c>
      <c r="Q12">
        <v>1</v>
      </c>
      <c r="R12">
        <v>0</v>
      </c>
      <c r="S12" s="6"/>
      <c r="T12">
        <v>0</v>
      </c>
      <c r="U12">
        <v>0</v>
      </c>
      <c r="V12">
        <v>0</v>
      </c>
      <c r="W12">
        <v>0</v>
      </c>
    </row>
    <row r="13" spans="1:25" x14ac:dyDescent="0.25">
      <c r="A13" t="s">
        <v>13</v>
      </c>
      <c r="D13">
        <v>0</v>
      </c>
      <c r="E13">
        <v>0</v>
      </c>
      <c r="G13">
        <v>3</v>
      </c>
      <c r="H13">
        <v>4</v>
      </c>
      <c r="K13" s="6">
        <v>0</v>
      </c>
      <c r="L13" s="6">
        <v>1</v>
      </c>
      <c r="M13" s="6">
        <v>0</v>
      </c>
      <c r="N13" s="6">
        <v>1</v>
      </c>
      <c r="Q13">
        <v>0.95</v>
      </c>
      <c r="R13">
        <v>1.5800000000000036E-2</v>
      </c>
      <c r="S13" s="6"/>
      <c r="T13">
        <v>1.5800000000000036E-2</v>
      </c>
      <c r="U13">
        <v>0</v>
      </c>
      <c r="V13">
        <v>1.5800000000000036E-2</v>
      </c>
      <c r="W13">
        <v>0</v>
      </c>
    </row>
    <row r="14" spans="1:25" x14ac:dyDescent="0.25">
      <c r="A14" t="s">
        <v>14</v>
      </c>
      <c r="D14">
        <v>0</v>
      </c>
      <c r="E14">
        <v>0</v>
      </c>
      <c r="G14">
        <v>4</v>
      </c>
      <c r="H14">
        <v>4.5</v>
      </c>
      <c r="K14" s="6">
        <v>0</v>
      </c>
      <c r="L14" s="6">
        <v>1</v>
      </c>
      <c r="M14" s="6">
        <v>0</v>
      </c>
      <c r="N14" s="6">
        <v>1</v>
      </c>
      <c r="Q14">
        <v>0.95</v>
      </c>
      <c r="R14">
        <v>1.5800000000000036E-2</v>
      </c>
      <c r="S14" s="6"/>
      <c r="T14">
        <v>1.5800000000000036E-2</v>
      </c>
      <c r="U14">
        <v>0</v>
      </c>
      <c r="V14">
        <v>1.5800000000000036E-2</v>
      </c>
      <c r="W14">
        <v>0</v>
      </c>
    </row>
    <row r="15" spans="1:25" x14ac:dyDescent="0.25">
      <c r="A15" t="s">
        <v>15</v>
      </c>
      <c r="D15">
        <v>0</v>
      </c>
      <c r="E15">
        <v>0</v>
      </c>
      <c r="G15">
        <v>4</v>
      </c>
      <c r="H15">
        <v>4.5</v>
      </c>
      <c r="K15" s="6">
        <v>0</v>
      </c>
      <c r="L15" s="6">
        <v>1</v>
      </c>
      <c r="M15" s="6">
        <v>0</v>
      </c>
      <c r="N15" s="6">
        <v>1</v>
      </c>
      <c r="Q15">
        <v>0.95</v>
      </c>
      <c r="R15">
        <v>1.5800000000000036E-2</v>
      </c>
      <c r="S15" s="6"/>
      <c r="T15">
        <v>1.5800000000000036E-2</v>
      </c>
      <c r="U15">
        <v>0</v>
      </c>
      <c r="V15">
        <v>1.5800000000000036E-2</v>
      </c>
      <c r="W15">
        <v>0</v>
      </c>
    </row>
    <row r="16" spans="1:25" x14ac:dyDescent="0.25">
      <c r="A16" t="s">
        <v>16</v>
      </c>
      <c r="D16">
        <v>0</v>
      </c>
      <c r="E16">
        <v>0</v>
      </c>
      <c r="G16">
        <v>4</v>
      </c>
      <c r="H16">
        <v>4.5</v>
      </c>
      <c r="K16" s="6">
        <v>0</v>
      </c>
      <c r="L16" s="6">
        <v>1</v>
      </c>
      <c r="M16" s="6">
        <v>0</v>
      </c>
      <c r="N16" s="6">
        <v>1</v>
      </c>
      <c r="Q16">
        <v>0.95</v>
      </c>
      <c r="R16">
        <v>1.5800000000000036E-2</v>
      </c>
      <c r="S16" s="6"/>
      <c r="T16">
        <v>1.5800000000000036E-2</v>
      </c>
      <c r="U16">
        <v>0</v>
      </c>
      <c r="V16">
        <v>1.5800000000000036E-2</v>
      </c>
      <c r="W16">
        <v>0</v>
      </c>
    </row>
    <row r="17" spans="1:23" x14ac:dyDescent="0.25">
      <c r="A17" t="s">
        <v>17</v>
      </c>
      <c r="D17">
        <v>0</v>
      </c>
      <c r="E17">
        <v>0</v>
      </c>
      <c r="G17">
        <v>4</v>
      </c>
      <c r="H17">
        <v>4.5</v>
      </c>
      <c r="K17" s="6">
        <v>0</v>
      </c>
      <c r="L17" s="6">
        <v>1</v>
      </c>
      <c r="M17" s="6">
        <v>0</v>
      </c>
      <c r="N17" s="6">
        <v>1</v>
      </c>
      <c r="Q17">
        <v>0.95</v>
      </c>
      <c r="R17">
        <v>1.5800000000000036E-2</v>
      </c>
      <c r="S17" s="6"/>
      <c r="T17">
        <v>1.5800000000000036E-2</v>
      </c>
      <c r="U17">
        <v>0</v>
      </c>
      <c r="V17">
        <v>1.5800000000000036E-2</v>
      </c>
      <c r="W17">
        <v>0</v>
      </c>
    </row>
    <row r="18" spans="1:23" x14ac:dyDescent="0.25">
      <c r="A18" t="s">
        <v>18</v>
      </c>
      <c r="D18">
        <v>0</v>
      </c>
      <c r="E18">
        <v>0</v>
      </c>
      <c r="G18">
        <v>3</v>
      </c>
      <c r="H18">
        <v>4</v>
      </c>
      <c r="K18" s="6">
        <v>0</v>
      </c>
      <c r="L18" s="6">
        <v>1</v>
      </c>
      <c r="M18" s="6">
        <v>0</v>
      </c>
      <c r="N18" s="6">
        <v>1</v>
      </c>
      <c r="Q18">
        <v>1</v>
      </c>
      <c r="R18">
        <v>0</v>
      </c>
      <c r="S18" s="6"/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19</v>
      </c>
      <c r="D19">
        <v>0</v>
      </c>
      <c r="E19">
        <v>0</v>
      </c>
      <c r="G19">
        <v>3</v>
      </c>
      <c r="H19">
        <v>4</v>
      </c>
      <c r="K19" s="6">
        <v>0</v>
      </c>
      <c r="L19" s="6">
        <v>1</v>
      </c>
      <c r="M19" s="6">
        <v>0</v>
      </c>
      <c r="N19" s="6">
        <v>1</v>
      </c>
      <c r="Q19">
        <v>1</v>
      </c>
      <c r="R19">
        <v>0</v>
      </c>
      <c r="S19" s="6"/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20</v>
      </c>
      <c r="D20">
        <v>0</v>
      </c>
      <c r="E20">
        <v>0</v>
      </c>
      <c r="G20">
        <v>3</v>
      </c>
      <c r="H20">
        <v>4</v>
      </c>
      <c r="K20" s="6">
        <v>0</v>
      </c>
      <c r="L20" s="6">
        <v>1</v>
      </c>
      <c r="M20" s="6">
        <v>0</v>
      </c>
      <c r="N20" s="6">
        <v>1</v>
      </c>
      <c r="Q20">
        <v>1</v>
      </c>
      <c r="R20">
        <v>0</v>
      </c>
      <c r="S20" s="6"/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21</v>
      </c>
      <c r="D21">
        <v>0</v>
      </c>
      <c r="E21">
        <v>0</v>
      </c>
      <c r="G21">
        <v>3</v>
      </c>
      <c r="H21">
        <v>4</v>
      </c>
      <c r="K21" s="6">
        <v>0</v>
      </c>
      <c r="L21" s="6">
        <v>1</v>
      </c>
      <c r="M21" s="6">
        <v>0</v>
      </c>
      <c r="N21" s="6">
        <v>1</v>
      </c>
      <c r="Q21">
        <v>1</v>
      </c>
      <c r="R21">
        <v>0</v>
      </c>
      <c r="S21" s="6"/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22</v>
      </c>
      <c r="D22">
        <v>0</v>
      </c>
      <c r="E22">
        <v>0</v>
      </c>
      <c r="G22">
        <v>3</v>
      </c>
      <c r="H22">
        <v>4</v>
      </c>
      <c r="K22" s="6">
        <v>0</v>
      </c>
      <c r="L22" s="6">
        <v>1</v>
      </c>
      <c r="M22" s="6">
        <v>0</v>
      </c>
      <c r="N22" s="6">
        <v>1</v>
      </c>
      <c r="Q22">
        <v>0.95</v>
      </c>
      <c r="R22">
        <v>1.5800000000000036E-2</v>
      </c>
      <c r="S22" s="6"/>
      <c r="T22">
        <v>1.5800000000000036E-2</v>
      </c>
      <c r="U22">
        <v>0</v>
      </c>
      <c r="V22">
        <v>1.5800000000000036E-2</v>
      </c>
      <c r="W22">
        <v>0</v>
      </c>
    </row>
    <row r="25" spans="1:23" x14ac:dyDescent="0.25">
      <c r="A25" t="s">
        <v>23</v>
      </c>
      <c r="D25">
        <f>MIN(D5:D22)</f>
        <v>0</v>
      </c>
      <c r="E25">
        <f>MIN(E5:E22)</f>
        <v>0</v>
      </c>
      <c r="G25">
        <f>MIN(G5:G22)</f>
        <v>3</v>
      </c>
      <c r="H25">
        <f>MIN(H5:H22)</f>
        <v>4</v>
      </c>
      <c r="K25">
        <f>MIN(K5:K22)</f>
        <v>0</v>
      </c>
      <c r="L25">
        <f t="shared" ref="L25:N25" si="0">MIN(L5:L22)</f>
        <v>1</v>
      </c>
      <c r="M25">
        <f t="shared" si="0"/>
        <v>0</v>
      </c>
      <c r="N25">
        <f t="shared" si="0"/>
        <v>1</v>
      </c>
      <c r="Q25">
        <f>MIN(Q5:Q22)</f>
        <v>0.95</v>
      </c>
      <c r="R25">
        <f>MIN(R5:R22)</f>
        <v>0</v>
      </c>
      <c r="T25">
        <f>MIN(T5:T22)</f>
        <v>0</v>
      </c>
      <c r="U25">
        <f t="shared" ref="U25:W25" si="1">MIN(U5:U22)</f>
        <v>0</v>
      </c>
      <c r="V25">
        <f t="shared" si="1"/>
        <v>0</v>
      </c>
      <c r="W25">
        <f t="shared" si="1"/>
        <v>0</v>
      </c>
    </row>
    <row r="26" spans="1:23" x14ac:dyDescent="0.25">
      <c r="A26" t="s">
        <v>24</v>
      </c>
      <c r="D26">
        <f>MAX(D5:D22)</f>
        <v>0</v>
      </c>
      <c r="E26">
        <f>MAX(E5:E22)</f>
        <v>0</v>
      </c>
      <c r="G26">
        <f>MAX(G5:G22)</f>
        <v>4</v>
      </c>
      <c r="H26">
        <f>MAX(H5:H22)</f>
        <v>4.5</v>
      </c>
      <c r="K26">
        <f>MAX(K5:K22)</f>
        <v>0</v>
      </c>
      <c r="L26">
        <f t="shared" ref="L26:N26" si="2">MAX(L5:L22)</f>
        <v>1</v>
      </c>
      <c r="M26">
        <f t="shared" si="2"/>
        <v>0</v>
      </c>
      <c r="N26">
        <f t="shared" si="2"/>
        <v>1</v>
      </c>
      <c r="Q26">
        <f>MAX(Q5:Q22)</f>
        <v>1</v>
      </c>
      <c r="R26">
        <f>MAX(R5:R22)</f>
        <v>1.5800000000000036E-2</v>
      </c>
      <c r="T26">
        <f>MAX(T5:T22)</f>
        <v>1.5800000000000036E-2</v>
      </c>
      <c r="U26">
        <f t="shared" ref="U26:W26" si="3">MAX(U5:U22)</f>
        <v>0</v>
      </c>
      <c r="V26">
        <f t="shared" si="3"/>
        <v>1.5800000000000036E-2</v>
      </c>
      <c r="W26">
        <f t="shared" si="3"/>
        <v>0</v>
      </c>
    </row>
    <row r="29" spans="1:23" x14ac:dyDescent="0.25">
      <c r="D29" t="e">
        <f>(D5-$D$25)/($D$26-$D$25)</f>
        <v>#DIV/0!</v>
      </c>
      <c r="E29" t="e">
        <f>(E5-$E$25)/($E$26-$E$25)</f>
        <v>#DIV/0!</v>
      </c>
      <c r="G29">
        <f>(G5-$G$25)/($G$26-$G$25)</f>
        <v>1</v>
      </c>
      <c r="H29">
        <f>(H5-$H$25)/($H$26-$H$25)</f>
        <v>1</v>
      </c>
      <c r="K29" t="e">
        <f>(K5-$K$25)/($K$26-$K$25)</f>
        <v>#DIV/0!</v>
      </c>
      <c r="L29" t="e">
        <f>($L$26-L5)/($L$26-$L$25)</f>
        <v>#DIV/0!</v>
      </c>
      <c r="M29" t="e">
        <f>(M5-$M$25)/($M$26-$M$25)</f>
        <v>#DIV/0!</v>
      </c>
      <c r="N29" t="e">
        <f>(N5-$N$25)/($N$26-$N$25)</f>
        <v>#DIV/0!</v>
      </c>
      <c r="Q29">
        <f>(Q5-$Q$25)/($Q$26-$Q$25)</f>
        <v>0</v>
      </c>
      <c r="R29">
        <f>($R$26-R5)/($R$26-$R$25)</f>
        <v>0</v>
      </c>
      <c r="T29">
        <f>($T$26-T5)/($T$26-$T$25)</f>
        <v>0</v>
      </c>
      <c r="U29" t="e">
        <f>($U$26-U5)/($U$26-$U$25)</f>
        <v>#DIV/0!</v>
      </c>
      <c r="V29">
        <f>($V$26-V5)/($V$26-$V$25)</f>
        <v>0</v>
      </c>
      <c r="W29" t="e">
        <f>($W$26-W5)/($W$26-$W$25)</f>
        <v>#DIV/0!</v>
      </c>
    </row>
    <row r="30" spans="1:23" x14ac:dyDescent="0.25">
      <c r="D30" t="e">
        <f t="shared" ref="D30:D46" si="4">(D6-$D$25)/($D$26-$D$25)</f>
        <v>#DIV/0!</v>
      </c>
      <c r="E30" t="e">
        <f t="shared" ref="E30:E46" si="5">(E6-$E$25)/($E$26-$E$25)</f>
        <v>#DIV/0!</v>
      </c>
      <c r="G30">
        <f t="shared" ref="G30:G46" si="6">(G6-$G$25)/($G$26-$G$25)</f>
        <v>1</v>
      </c>
      <c r="H30">
        <f t="shared" ref="H30:H46" si="7">(H6-$H$25)/($H$26-$H$25)</f>
        <v>1</v>
      </c>
      <c r="K30" t="e">
        <f t="shared" ref="K30:K46" si="8">(K6-$K$25)/($K$26-$K$25)</f>
        <v>#DIV/0!</v>
      </c>
      <c r="L30" t="e">
        <f t="shared" ref="L30:L46" si="9">($L$26-L6)/($L$26-$L$25)</f>
        <v>#DIV/0!</v>
      </c>
      <c r="M30" t="e">
        <f t="shared" ref="M30:M46" si="10">(M6-$M$25)/($M$26-$M$25)</f>
        <v>#DIV/0!</v>
      </c>
      <c r="N30" t="e">
        <f t="shared" ref="N30:N46" si="11">(N6-$N$25)/($N$26-$N$25)</f>
        <v>#DIV/0!</v>
      </c>
      <c r="Q30">
        <f t="shared" ref="Q30:Q46" si="12">(Q6-$Q$25)/($Q$26-$Q$25)</f>
        <v>0</v>
      </c>
      <c r="R30">
        <f t="shared" ref="R30:R46" si="13">($R$26-R6)/($R$26-$R$25)</f>
        <v>0</v>
      </c>
      <c r="T30">
        <f t="shared" ref="T30:T46" si="14">($T$26-T6)/($T$26-$T$25)</f>
        <v>0</v>
      </c>
      <c r="U30" t="e">
        <f t="shared" ref="U30:U46" si="15">($U$26-U6)/($U$26-$U$25)</f>
        <v>#DIV/0!</v>
      </c>
      <c r="V30">
        <f t="shared" ref="V30:V46" si="16">($V$26-V6)/($V$26-$V$25)</f>
        <v>0</v>
      </c>
      <c r="W30" t="e">
        <f t="shared" ref="W30:W46" si="17">($W$26-W6)/($W$26-$W$25)</f>
        <v>#DIV/0!</v>
      </c>
    </row>
    <row r="31" spans="1:23" x14ac:dyDescent="0.25">
      <c r="D31" t="e">
        <f t="shared" si="4"/>
        <v>#DIV/0!</v>
      </c>
      <c r="E31" t="e">
        <f t="shared" si="5"/>
        <v>#DIV/0!</v>
      </c>
      <c r="G31">
        <f t="shared" si="6"/>
        <v>1</v>
      </c>
      <c r="H31">
        <f t="shared" si="7"/>
        <v>1</v>
      </c>
      <c r="K31" t="e">
        <f t="shared" si="8"/>
        <v>#DIV/0!</v>
      </c>
      <c r="L31" t="e">
        <f t="shared" si="9"/>
        <v>#DIV/0!</v>
      </c>
      <c r="M31" t="e">
        <f t="shared" si="10"/>
        <v>#DIV/0!</v>
      </c>
      <c r="N31" t="e">
        <f t="shared" si="11"/>
        <v>#DIV/0!</v>
      </c>
      <c r="Q31">
        <f t="shared" si="12"/>
        <v>0</v>
      </c>
      <c r="R31">
        <f t="shared" si="13"/>
        <v>0</v>
      </c>
      <c r="T31">
        <f t="shared" si="14"/>
        <v>0</v>
      </c>
      <c r="U31" t="e">
        <f t="shared" si="15"/>
        <v>#DIV/0!</v>
      </c>
      <c r="V31">
        <f t="shared" si="16"/>
        <v>0</v>
      </c>
      <c r="W31" t="e">
        <f t="shared" si="17"/>
        <v>#DIV/0!</v>
      </c>
    </row>
    <row r="32" spans="1:23" x14ac:dyDescent="0.25">
      <c r="D32" t="e">
        <f t="shared" si="4"/>
        <v>#DIV/0!</v>
      </c>
      <c r="E32" t="e">
        <f t="shared" si="5"/>
        <v>#DIV/0!</v>
      </c>
      <c r="G32">
        <f t="shared" si="6"/>
        <v>1</v>
      </c>
      <c r="H32">
        <f t="shared" si="7"/>
        <v>1</v>
      </c>
      <c r="K32" t="e">
        <f t="shared" si="8"/>
        <v>#DIV/0!</v>
      </c>
      <c r="L32" t="e">
        <f t="shared" si="9"/>
        <v>#DIV/0!</v>
      </c>
      <c r="M32" t="e">
        <f t="shared" si="10"/>
        <v>#DIV/0!</v>
      </c>
      <c r="N32" t="e">
        <f t="shared" si="11"/>
        <v>#DIV/0!</v>
      </c>
      <c r="Q32">
        <f t="shared" si="12"/>
        <v>0</v>
      </c>
      <c r="R32">
        <f t="shared" si="13"/>
        <v>0</v>
      </c>
      <c r="T32">
        <f t="shared" si="14"/>
        <v>0</v>
      </c>
      <c r="U32" t="e">
        <f t="shared" si="15"/>
        <v>#DIV/0!</v>
      </c>
      <c r="V32">
        <f t="shared" si="16"/>
        <v>0</v>
      </c>
      <c r="W32" t="e">
        <f t="shared" si="17"/>
        <v>#DIV/0!</v>
      </c>
    </row>
    <row r="33" spans="4:23" x14ac:dyDescent="0.25">
      <c r="D33" t="e">
        <f t="shared" si="4"/>
        <v>#DIV/0!</v>
      </c>
      <c r="E33" t="e">
        <f t="shared" si="5"/>
        <v>#DIV/0!</v>
      </c>
      <c r="G33">
        <f t="shared" si="6"/>
        <v>0</v>
      </c>
      <c r="H33">
        <f t="shared" si="7"/>
        <v>0</v>
      </c>
      <c r="K33" t="e">
        <f t="shared" si="8"/>
        <v>#DIV/0!</v>
      </c>
      <c r="L33" t="e">
        <f t="shared" si="9"/>
        <v>#DIV/0!</v>
      </c>
      <c r="M33" t="e">
        <f t="shared" si="10"/>
        <v>#DIV/0!</v>
      </c>
      <c r="N33" t="e">
        <f t="shared" si="11"/>
        <v>#DIV/0!</v>
      </c>
      <c r="Q33">
        <f t="shared" si="12"/>
        <v>1</v>
      </c>
      <c r="R33">
        <f t="shared" si="13"/>
        <v>1</v>
      </c>
      <c r="T33">
        <f t="shared" si="14"/>
        <v>1</v>
      </c>
      <c r="U33" t="e">
        <f t="shared" si="15"/>
        <v>#DIV/0!</v>
      </c>
      <c r="V33">
        <f t="shared" si="16"/>
        <v>1</v>
      </c>
      <c r="W33" t="e">
        <f t="shared" si="17"/>
        <v>#DIV/0!</v>
      </c>
    </row>
    <row r="34" spans="4:23" x14ac:dyDescent="0.25">
      <c r="D34" t="e">
        <f t="shared" si="4"/>
        <v>#DIV/0!</v>
      </c>
      <c r="E34" t="e">
        <f t="shared" si="5"/>
        <v>#DIV/0!</v>
      </c>
      <c r="G34">
        <f t="shared" si="6"/>
        <v>0</v>
      </c>
      <c r="H34">
        <f t="shared" si="7"/>
        <v>0</v>
      </c>
      <c r="K34" t="e">
        <f t="shared" si="8"/>
        <v>#DIV/0!</v>
      </c>
      <c r="L34" t="e">
        <f t="shared" si="9"/>
        <v>#DIV/0!</v>
      </c>
      <c r="M34" t="e">
        <f t="shared" si="10"/>
        <v>#DIV/0!</v>
      </c>
      <c r="N34" t="e">
        <f t="shared" si="11"/>
        <v>#DIV/0!</v>
      </c>
      <c r="Q34">
        <f t="shared" si="12"/>
        <v>1</v>
      </c>
      <c r="R34">
        <f t="shared" si="13"/>
        <v>1</v>
      </c>
      <c r="T34">
        <f t="shared" si="14"/>
        <v>1</v>
      </c>
      <c r="U34" t="e">
        <f t="shared" si="15"/>
        <v>#DIV/0!</v>
      </c>
      <c r="V34">
        <f t="shared" si="16"/>
        <v>1</v>
      </c>
      <c r="W34" t="e">
        <f t="shared" si="17"/>
        <v>#DIV/0!</v>
      </c>
    </row>
    <row r="35" spans="4:23" x14ac:dyDescent="0.25">
      <c r="D35" t="e">
        <f t="shared" si="4"/>
        <v>#DIV/0!</v>
      </c>
      <c r="E35" t="e">
        <f t="shared" si="5"/>
        <v>#DIV/0!</v>
      </c>
      <c r="G35">
        <f t="shared" si="6"/>
        <v>0</v>
      </c>
      <c r="H35">
        <f t="shared" si="7"/>
        <v>0</v>
      </c>
      <c r="K35" t="e">
        <f t="shared" si="8"/>
        <v>#DIV/0!</v>
      </c>
      <c r="L35" t="e">
        <f t="shared" si="9"/>
        <v>#DIV/0!</v>
      </c>
      <c r="M35" t="e">
        <f t="shared" si="10"/>
        <v>#DIV/0!</v>
      </c>
      <c r="N35" t="e">
        <f t="shared" si="11"/>
        <v>#DIV/0!</v>
      </c>
      <c r="Q35">
        <f t="shared" si="12"/>
        <v>1</v>
      </c>
      <c r="R35">
        <f t="shared" si="13"/>
        <v>1</v>
      </c>
      <c r="T35">
        <f t="shared" si="14"/>
        <v>1</v>
      </c>
      <c r="U35" t="e">
        <f t="shared" si="15"/>
        <v>#DIV/0!</v>
      </c>
      <c r="V35">
        <f t="shared" si="16"/>
        <v>1</v>
      </c>
      <c r="W35" t="e">
        <f t="shared" si="17"/>
        <v>#DIV/0!</v>
      </c>
    </row>
    <row r="36" spans="4:23" x14ac:dyDescent="0.25">
      <c r="D36" t="e">
        <f t="shared" si="4"/>
        <v>#DIV/0!</v>
      </c>
      <c r="E36" t="e">
        <f t="shared" si="5"/>
        <v>#DIV/0!</v>
      </c>
      <c r="G36">
        <f t="shared" si="6"/>
        <v>0</v>
      </c>
      <c r="H36">
        <f t="shared" si="7"/>
        <v>0</v>
      </c>
      <c r="K36" t="e">
        <f t="shared" si="8"/>
        <v>#DIV/0!</v>
      </c>
      <c r="L36" t="e">
        <f t="shared" si="9"/>
        <v>#DIV/0!</v>
      </c>
      <c r="M36" t="e">
        <f t="shared" si="10"/>
        <v>#DIV/0!</v>
      </c>
      <c r="N36" t="e">
        <f t="shared" si="11"/>
        <v>#DIV/0!</v>
      </c>
      <c r="Q36">
        <f t="shared" si="12"/>
        <v>1</v>
      </c>
      <c r="R36">
        <f t="shared" si="13"/>
        <v>1</v>
      </c>
      <c r="T36">
        <f t="shared" si="14"/>
        <v>1</v>
      </c>
      <c r="U36" t="e">
        <f t="shared" si="15"/>
        <v>#DIV/0!</v>
      </c>
      <c r="V36">
        <f t="shared" si="16"/>
        <v>1</v>
      </c>
      <c r="W36" t="e">
        <f t="shared" si="17"/>
        <v>#DIV/0!</v>
      </c>
    </row>
    <row r="37" spans="4:23" x14ac:dyDescent="0.25">
      <c r="D37" t="e">
        <f t="shared" si="4"/>
        <v>#DIV/0!</v>
      </c>
      <c r="E37" t="e">
        <f t="shared" si="5"/>
        <v>#DIV/0!</v>
      </c>
      <c r="G37">
        <f t="shared" si="6"/>
        <v>0</v>
      </c>
      <c r="H37">
        <f t="shared" si="7"/>
        <v>0</v>
      </c>
      <c r="K37" t="e">
        <f t="shared" si="8"/>
        <v>#DIV/0!</v>
      </c>
      <c r="L37" t="e">
        <f t="shared" si="9"/>
        <v>#DIV/0!</v>
      </c>
      <c r="M37" t="e">
        <f t="shared" si="10"/>
        <v>#DIV/0!</v>
      </c>
      <c r="N37" t="e">
        <f t="shared" si="11"/>
        <v>#DIV/0!</v>
      </c>
      <c r="Q37">
        <f t="shared" si="12"/>
        <v>0</v>
      </c>
      <c r="R37">
        <f t="shared" si="13"/>
        <v>0</v>
      </c>
      <c r="T37">
        <f t="shared" si="14"/>
        <v>0</v>
      </c>
      <c r="U37" t="e">
        <f t="shared" si="15"/>
        <v>#DIV/0!</v>
      </c>
      <c r="V37">
        <f t="shared" si="16"/>
        <v>0</v>
      </c>
      <c r="W37" t="e">
        <f t="shared" si="17"/>
        <v>#DIV/0!</v>
      </c>
    </row>
    <row r="38" spans="4:23" x14ac:dyDescent="0.25">
      <c r="D38" t="e">
        <f t="shared" si="4"/>
        <v>#DIV/0!</v>
      </c>
      <c r="E38" t="e">
        <f t="shared" si="5"/>
        <v>#DIV/0!</v>
      </c>
      <c r="G38">
        <f t="shared" si="6"/>
        <v>1</v>
      </c>
      <c r="H38">
        <f t="shared" si="7"/>
        <v>1</v>
      </c>
      <c r="K38" t="e">
        <f t="shared" si="8"/>
        <v>#DIV/0!</v>
      </c>
      <c r="L38" t="e">
        <f t="shared" si="9"/>
        <v>#DIV/0!</v>
      </c>
      <c r="M38" t="e">
        <f t="shared" si="10"/>
        <v>#DIV/0!</v>
      </c>
      <c r="N38" t="e">
        <f t="shared" si="11"/>
        <v>#DIV/0!</v>
      </c>
      <c r="Q38">
        <f t="shared" si="12"/>
        <v>0</v>
      </c>
      <c r="R38">
        <f t="shared" si="13"/>
        <v>0</v>
      </c>
      <c r="T38">
        <f t="shared" si="14"/>
        <v>0</v>
      </c>
      <c r="U38" t="e">
        <f t="shared" si="15"/>
        <v>#DIV/0!</v>
      </c>
      <c r="V38">
        <f t="shared" si="16"/>
        <v>0</v>
      </c>
      <c r="W38" t="e">
        <f t="shared" si="17"/>
        <v>#DIV/0!</v>
      </c>
    </row>
    <row r="39" spans="4:23" x14ac:dyDescent="0.25">
      <c r="D39" t="e">
        <f t="shared" si="4"/>
        <v>#DIV/0!</v>
      </c>
      <c r="E39" t="e">
        <f t="shared" si="5"/>
        <v>#DIV/0!</v>
      </c>
      <c r="G39">
        <f t="shared" si="6"/>
        <v>1</v>
      </c>
      <c r="H39">
        <f t="shared" si="7"/>
        <v>1</v>
      </c>
      <c r="K39" t="e">
        <f t="shared" si="8"/>
        <v>#DIV/0!</v>
      </c>
      <c r="L39" t="e">
        <f t="shared" si="9"/>
        <v>#DIV/0!</v>
      </c>
      <c r="M39" t="e">
        <f t="shared" si="10"/>
        <v>#DIV/0!</v>
      </c>
      <c r="N39" t="e">
        <f t="shared" si="11"/>
        <v>#DIV/0!</v>
      </c>
      <c r="Q39">
        <f t="shared" si="12"/>
        <v>0</v>
      </c>
      <c r="R39">
        <f t="shared" si="13"/>
        <v>0</v>
      </c>
      <c r="T39">
        <f t="shared" si="14"/>
        <v>0</v>
      </c>
      <c r="U39" t="e">
        <f t="shared" si="15"/>
        <v>#DIV/0!</v>
      </c>
      <c r="V39">
        <f t="shared" si="16"/>
        <v>0</v>
      </c>
      <c r="W39" t="e">
        <f t="shared" si="17"/>
        <v>#DIV/0!</v>
      </c>
    </row>
    <row r="40" spans="4:23" x14ac:dyDescent="0.25">
      <c r="D40" t="e">
        <f t="shared" si="4"/>
        <v>#DIV/0!</v>
      </c>
      <c r="E40" t="e">
        <f t="shared" si="5"/>
        <v>#DIV/0!</v>
      </c>
      <c r="G40">
        <f t="shared" si="6"/>
        <v>1</v>
      </c>
      <c r="H40">
        <f t="shared" si="7"/>
        <v>1</v>
      </c>
      <c r="K40" t="e">
        <f t="shared" si="8"/>
        <v>#DIV/0!</v>
      </c>
      <c r="L40" t="e">
        <f t="shared" si="9"/>
        <v>#DIV/0!</v>
      </c>
      <c r="M40" t="e">
        <f t="shared" si="10"/>
        <v>#DIV/0!</v>
      </c>
      <c r="N40" t="e">
        <f t="shared" si="11"/>
        <v>#DIV/0!</v>
      </c>
      <c r="Q40">
        <f t="shared" si="12"/>
        <v>0</v>
      </c>
      <c r="R40">
        <f t="shared" si="13"/>
        <v>0</v>
      </c>
      <c r="T40">
        <f t="shared" si="14"/>
        <v>0</v>
      </c>
      <c r="U40" t="e">
        <f t="shared" si="15"/>
        <v>#DIV/0!</v>
      </c>
      <c r="V40">
        <f t="shared" si="16"/>
        <v>0</v>
      </c>
      <c r="W40" t="e">
        <f t="shared" si="17"/>
        <v>#DIV/0!</v>
      </c>
    </row>
    <row r="41" spans="4:23" x14ac:dyDescent="0.25">
      <c r="D41" t="e">
        <f t="shared" si="4"/>
        <v>#DIV/0!</v>
      </c>
      <c r="E41" t="e">
        <f t="shared" si="5"/>
        <v>#DIV/0!</v>
      </c>
      <c r="G41">
        <f t="shared" si="6"/>
        <v>1</v>
      </c>
      <c r="H41">
        <f t="shared" si="7"/>
        <v>1</v>
      </c>
      <c r="K41" t="e">
        <f t="shared" si="8"/>
        <v>#DIV/0!</v>
      </c>
      <c r="L41" t="e">
        <f t="shared" si="9"/>
        <v>#DIV/0!</v>
      </c>
      <c r="M41" t="e">
        <f t="shared" si="10"/>
        <v>#DIV/0!</v>
      </c>
      <c r="N41" t="e">
        <f t="shared" si="11"/>
        <v>#DIV/0!</v>
      </c>
      <c r="Q41">
        <f t="shared" si="12"/>
        <v>0</v>
      </c>
      <c r="R41">
        <f t="shared" si="13"/>
        <v>0</v>
      </c>
      <c r="T41">
        <f t="shared" si="14"/>
        <v>0</v>
      </c>
      <c r="U41" t="e">
        <f t="shared" si="15"/>
        <v>#DIV/0!</v>
      </c>
      <c r="V41">
        <f t="shared" si="16"/>
        <v>0</v>
      </c>
      <c r="W41" t="e">
        <f t="shared" si="17"/>
        <v>#DIV/0!</v>
      </c>
    </row>
    <row r="42" spans="4:23" x14ac:dyDescent="0.25">
      <c r="D42" t="e">
        <f t="shared" si="4"/>
        <v>#DIV/0!</v>
      </c>
      <c r="E42" t="e">
        <f t="shared" si="5"/>
        <v>#DIV/0!</v>
      </c>
      <c r="G42">
        <f t="shared" si="6"/>
        <v>0</v>
      </c>
      <c r="H42">
        <f t="shared" si="7"/>
        <v>0</v>
      </c>
      <c r="K42" t="e">
        <f t="shared" si="8"/>
        <v>#DIV/0!</v>
      </c>
      <c r="L42" t="e">
        <f t="shared" si="9"/>
        <v>#DIV/0!</v>
      </c>
      <c r="M42" t="e">
        <f t="shared" si="10"/>
        <v>#DIV/0!</v>
      </c>
      <c r="N42" t="e">
        <f t="shared" si="11"/>
        <v>#DIV/0!</v>
      </c>
      <c r="Q42">
        <f t="shared" si="12"/>
        <v>1</v>
      </c>
      <c r="R42">
        <f t="shared" si="13"/>
        <v>1</v>
      </c>
      <c r="T42">
        <f t="shared" si="14"/>
        <v>1</v>
      </c>
      <c r="U42" t="e">
        <f t="shared" si="15"/>
        <v>#DIV/0!</v>
      </c>
      <c r="V42">
        <f t="shared" si="16"/>
        <v>1</v>
      </c>
      <c r="W42" t="e">
        <f t="shared" si="17"/>
        <v>#DIV/0!</v>
      </c>
    </row>
    <row r="43" spans="4:23" x14ac:dyDescent="0.25">
      <c r="D43" t="e">
        <f t="shared" si="4"/>
        <v>#DIV/0!</v>
      </c>
      <c r="E43" t="e">
        <f t="shared" si="5"/>
        <v>#DIV/0!</v>
      </c>
      <c r="G43">
        <f t="shared" si="6"/>
        <v>0</v>
      </c>
      <c r="H43">
        <f t="shared" si="7"/>
        <v>0</v>
      </c>
      <c r="K43" t="e">
        <f t="shared" si="8"/>
        <v>#DIV/0!</v>
      </c>
      <c r="L43" t="e">
        <f t="shared" si="9"/>
        <v>#DIV/0!</v>
      </c>
      <c r="M43" t="e">
        <f t="shared" si="10"/>
        <v>#DIV/0!</v>
      </c>
      <c r="N43" t="e">
        <f t="shared" si="11"/>
        <v>#DIV/0!</v>
      </c>
      <c r="Q43">
        <f t="shared" si="12"/>
        <v>1</v>
      </c>
      <c r="R43">
        <f t="shared" si="13"/>
        <v>1</v>
      </c>
      <c r="T43">
        <f t="shared" si="14"/>
        <v>1</v>
      </c>
      <c r="U43" t="e">
        <f t="shared" si="15"/>
        <v>#DIV/0!</v>
      </c>
      <c r="V43">
        <f t="shared" si="16"/>
        <v>1</v>
      </c>
      <c r="W43" t="e">
        <f t="shared" si="17"/>
        <v>#DIV/0!</v>
      </c>
    </row>
    <row r="44" spans="4:23" x14ac:dyDescent="0.25">
      <c r="D44" t="e">
        <f>(D20-$D$25)/($D$26-$D$25)</f>
        <v>#DIV/0!</v>
      </c>
      <c r="E44" t="e">
        <f t="shared" si="5"/>
        <v>#DIV/0!</v>
      </c>
      <c r="G44">
        <f t="shared" si="6"/>
        <v>0</v>
      </c>
      <c r="H44">
        <f t="shared" si="7"/>
        <v>0</v>
      </c>
      <c r="K44" t="e">
        <f t="shared" si="8"/>
        <v>#DIV/0!</v>
      </c>
      <c r="L44" t="e">
        <f t="shared" si="9"/>
        <v>#DIV/0!</v>
      </c>
      <c r="M44" t="e">
        <f t="shared" si="10"/>
        <v>#DIV/0!</v>
      </c>
      <c r="N44" t="e">
        <f t="shared" si="11"/>
        <v>#DIV/0!</v>
      </c>
      <c r="Q44">
        <f t="shared" si="12"/>
        <v>1</v>
      </c>
      <c r="R44">
        <f t="shared" si="13"/>
        <v>1</v>
      </c>
      <c r="T44">
        <f t="shared" si="14"/>
        <v>1</v>
      </c>
      <c r="U44" t="e">
        <f t="shared" si="15"/>
        <v>#DIV/0!</v>
      </c>
      <c r="V44">
        <f t="shared" si="16"/>
        <v>1</v>
      </c>
      <c r="W44" t="e">
        <f t="shared" si="17"/>
        <v>#DIV/0!</v>
      </c>
    </row>
    <row r="45" spans="4:23" x14ac:dyDescent="0.25">
      <c r="D45" t="e">
        <f t="shared" si="4"/>
        <v>#DIV/0!</v>
      </c>
      <c r="E45" t="e">
        <f t="shared" si="5"/>
        <v>#DIV/0!</v>
      </c>
      <c r="G45">
        <f t="shared" si="6"/>
        <v>0</v>
      </c>
      <c r="H45">
        <f t="shared" si="7"/>
        <v>0</v>
      </c>
      <c r="K45" t="e">
        <f t="shared" si="8"/>
        <v>#DIV/0!</v>
      </c>
      <c r="L45" t="e">
        <f t="shared" si="9"/>
        <v>#DIV/0!</v>
      </c>
      <c r="M45" t="e">
        <f t="shared" si="10"/>
        <v>#DIV/0!</v>
      </c>
      <c r="N45" t="e">
        <f t="shared" si="11"/>
        <v>#DIV/0!</v>
      </c>
      <c r="Q45">
        <f t="shared" si="12"/>
        <v>1</v>
      </c>
      <c r="R45">
        <f t="shared" si="13"/>
        <v>1</v>
      </c>
      <c r="T45">
        <f t="shared" si="14"/>
        <v>1</v>
      </c>
      <c r="U45" t="e">
        <f t="shared" si="15"/>
        <v>#DIV/0!</v>
      </c>
      <c r="V45">
        <f t="shared" si="16"/>
        <v>1</v>
      </c>
      <c r="W45" t="e">
        <f t="shared" si="17"/>
        <v>#DIV/0!</v>
      </c>
    </row>
    <row r="46" spans="4:23" x14ac:dyDescent="0.25">
      <c r="D46" t="e">
        <f t="shared" si="4"/>
        <v>#DIV/0!</v>
      </c>
      <c r="E46" t="e">
        <f t="shared" si="5"/>
        <v>#DIV/0!</v>
      </c>
      <c r="G46">
        <f t="shared" si="6"/>
        <v>0</v>
      </c>
      <c r="H46">
        <f t="shared" si="7"/>
        <v>0</v>
      </c>
      <c r="K46" t="e">
        <f t="shared" si="8"/>
        <v>#DIV/0!</v>
      </c>
      <c r="L46" t="e">
        <f t="shared" si="9"/>
        <v>#DIV/0!</v>
      </c>
      <c r="M46" t="e">
        <f t="shared" si="10"/>
        <v>#DIV/0!</v>
      </c>
      <c r="N46" t="e">
        <f t="shared" si="11"/>
        <v>#DIV/0!</v>
      </c>
      <c r="Q46">
        <f t="shared" si="12"/>
        <v>0</v>
      </c>
      <c r="R46">
        <f t="shared" si="13"/>
        <v>0</v>
      </c>
      <c r="T46">
        <f t="shared" si="14"/>
        <v>0</v>
      </c>
      <c r="U46" t="e">
        <f t="shared" si="15"/>
        <v>#DIV/0!</v>
      </c>
      <c r="V46">
        <f t="shared" si="16"/>
        <v>0</v>
      </c>
      <c r="W46" t="e">
        <f t="shared" si="17"/>
        <v>#DIV/0!</v>
      </c>
    </row>
    <row r="49" spans="3:23" x14ac:dyDescent="0.25">
      <c r="C49" s="3"/>
      <c r="D49" t="e">
        <f>100*ROUND(D29,2)</f>
        <v>#DIV/0!</v>
      </c>
      <c r="E49" t="e">
        <f>100*ROUND(E29,2)</f>
        <v>#DIV/0!</v>
      </c>
      <c r="F49" s="2">
        <f>AVERAGE(G49:H49)</f>
        <v>100</v>
      </c>
      <c r="G49">
        <f>100*ROUND(G29,2)</f>
        <v>100</v>
      </c>
      <c r="H49">
        <f>100*ROUND(H29,2)</f>
        <v>100</v>
      </c>
      <c r="J49" s="3"/>
      <c r="K49" t="e">
        <f>100*ROUND(K29,2)</f>
        <v>#DIV/0!</v>
      </c>
      <c r="L49" t="e">
        <f>100*ROUND(L29,2)</f>
        <v>#DIV/0!</v>
      </c>
      <c r="M49" t="e">
        <f t="shared" ref="M49:N49" si="18">100*ROUND(M29,2)</f>
        <v>#DIV/0!</v>
      </c>
      <c r="N49" t="e">
        <f t="shared" si="18"/>
        <v>#DIV/0!</v>
      </c>
      <c r="P49" s="2">
        <f>AVERAGE(Q49:R49)</f>
        <v>0</v>
      </c>
      <c r="Q49">
        <f>100*ROUND(Q29,2)</f>
        <v>0</v>
      </c>
      <c r="R49">
        <f>100*ROUND(R29,2)</f>
        <v>0</v>
      </c>
      <c r="S49" s="2">
        <f>AVERAGE(T49,V49)</f>
        <v>0</v>
      </c>
      <c r="T49">
        <f>100*ROUND(T29,2)</f>
        <v>0</v>
      </c>
      <c r="U49" t="e">
        <f t="shared" ref="U49:W49" si="19">100*ROUND(U29,2)</f>
        <v>#DIV/0!</v>
      </c>
      <c r="V49">
        <f t="shared" si="19"/>
        <v>0</v>
      </c>
      <c r="W49" t="e">
        <f t="shared" si="19"/>
        <v>#DIV/0!</v>
      </c>
    </row>
    <row r="50" spans="3:23" x14ac:dyDescent="0.25">
      <c r="C50" s="3"/>
      <c r="D50" t="e">
        <f t="shared" ref="D50:E66" si="20">100*ROUND(D30,2)</f>
        <v>#DIV/0!</v>
      </c>
      <c r="E50" t="e">
        <f t="shared" si="20"/>
        <v>#DIV/0!</v>
      </c>
      <c r="F50" s="2">
        <f t="shared" ref="F50:F66" si="21">AVERAGE(G50:H50)</f>
        <v>100</v>
      </c>
      <c r="G50">
        <f t="shared" ref="G50:H50" si="22">100*ROUND(G30,2)</f>
        <v>100</v>
      </c>
      <c r="H50">
        <f t="shared" si="22"/>
        <v>100</v>
      </c>
      <c r="J50" s="3"/>
      <c r="K50" t="e">
        <f t="shared" ref="K50:N50" si="23">100*ROUND(K30,2)</f>
        <v>#DIV/0!</v>
      </c>
      <c r="L50" t="e">
        <f t="shared" si="23"/>
        <v>#DIV/0!</v>
      </c>
      <c r="M50" t="e">
        <f t="shared" si="23"/>
        <v>#DIV/0!</v>
      </c>
      <c r="N50" t="e">
        <f t="shared" si="23"/>
        <v>#DIV/0!</v>
      </c>
      <c r="P50" s="2">
        <f t="shared" ref="P50:P66" si="24">AVERAGE(Q50:R50)</f>
        <v>0</v>
      </c>
      <c r="Q50">
        <f t="shared" ref="Q50:R66" si="25">100*ROUND(Q30,2)</f>
        <v>0</v>
      </c>
      <c r="R50">
        <f t="shared" si="25"/>
        <v>0</v>
      </c>
      <c r="S50" s="2">
        <f t="shared" ref="S50:S66" si="26">AVERAGE(T50,V50)</f>
        <v>0</v>
      </c>
      <c r="T50">
        <f t="shared" ref="T50:W66" si="27">100*ROUND(T30,2)</f>
        <v>0</v>
      </c>
      <c r="U50" t="e">
        <f t="shared" si="27"/>
        <v>#DIV/0!</v>
      </c>
      <c r="V50">
        <f t="shared" si="27"/>
        <v>0</v>
      </c>
      <c r="W50" t="e">
        <f t="shared" si="27"/>
        <v>#DIV/0!</v>
      </c>
    </row>
    <row r="51" spans="3:23" x14ac:dyDescent="0.25">
      <c r="C51" s="3"/>
      <c r="D51" t="e">
        <f t="shared" si="20"/>
        <v>#DIV/0!</v>
      </c>
      <c r="E51" t="e">
        <f t="shared" si="20"/>
        <v>#DIV/0!</v>
      </c>
      <c r="F51" s="2">
        <f t="shared" si="21"/>
        <v>100</v>
      </c>
      <c r="G51">
        <f t="shared" ref="G51:H51" si="28">100*ROUND(G31,2)</f>
        <v>100</v>
      </c>
      <c r="H51">
        <f t="shared" si="28"/>
        <v>100</v>
      </c>
      <c r="J51" s="3"/>
      <c r="K51" t="e">
        <f t="shared" ref="K51:N51" si="29">100*ROUND(K31,2)</f>
        <v>#DIV/0!</v>
      </c>
      <c r="L51" t="e">
        <f t="shared" si="29"/>
        <v>#DIV/0!</v>
      </c>
      <c r="M51" t="e">
        <f t="shared" si="29"/>
        <v>#DIV/0!</v>
      </c>
      <c r="N51" t="e">
        <f t="shared" si="29"/>
        <v>#DIV/0!</v>
      </c>
      <c r="P51" s="2">
        <f t="shared" si="24"/>
        <v>0</v>
      </c>
      <c r="Q51">
        <f t="shared" si="25"/>
        <v>0</v>
      </c>
      <c r="R51">
        <f t="shared" si="25"/>
        <v>0</v>
      </c>
      <c r="S51" s="2">
        <f t="shared" si="26"/>
        <v>0</v>
      </c>
      <c r="T51">
        <f t="shared" si="27"/>
        <v>0</v>
      </c>
      <c r="U51" t="e">
        <f t="shared" si="27"/>
        <v>#DIV/0!</v>
      </c>
      <c r="V51">
        <f t="shared" si="27"/>
        <v>0</v>
      </c>
      <c r="W51" t="e">
        <f t="shared" si="27"/>
        <v>#DIV/0!</v>
      </c>
    </row>
    <row r="52" spans="3:23" x14ac:dyDescent="0.25">
      <c r="C52" s="3"/>
      <c r="D52" t="e">
        <f t="shared" si="20"/>
        <v>#DIV/0!</v>
      </c>
      <c r="E52" t="e">
        <f t="shared" si="20"/>
        <v>#DIV/0!</v>
      </c>
      <c r="F52" s="2">
        <f t="shared" si="21"/>
        <v>100</v>
      </c>
      <c r="G52">
        <f t="shared" ref="G52:H52" si="30">100*ROUND(G32,2)</f>
        <v>100</v>
      </c>
      <c r="H52">
        <f t="shared" si="30"/>
        <v>100</v>
      </c>
      <c r="J52" s="3"/>
      <c r="K52" t="e">
        <f t="shared" ref="K52:N52" si="31">100*ROUND(K32,2)</f>
        <v>#DIV/0!</v>
      </c>
      <c r="L52" t="e">
        <f t="shared" si="31"/>
        <v>#DIV/0!</v>
      </c>
      <c r="M52" t="e">
        <f t="shared" si="31"/>
        <v>#DIV/0!</v>
      </c>
      <c r="N52" t="e">
        <f t="shared" si="31"/>
        <v>#DIV/0!</v>
      </c>
      <c r="P52" s="2">
        <f t="shared" si="24"/>
        <v>0</v>
      </c>
      <c r="Q52">
        <f t="shared" si="25"/>
        <v>0</v>
      </c>
      <c r="R52">
        <f t="shared" si="25"/>
        <v>0</v>
      </c>
      <c r="S52" s="2">
        <f t="shared" si="26"/>
        <v>0</v>
      </c>
      <c r="T52">
        <f t="shared" si="27"/>
        <v>0</v>
      </c>
      <c r="U52" t="e">
        <f t="shared" si="27"/>
        <v>#DIV/0!</v>
      </c>
      <c r="V52">
        <f t="shared" si="27"/>
        <v>0</v>
      </c>
      <c r="W52" t="e">
        <f t="shared" si="27"/>
        <v>#DIV/0!</v>
      </c>
    </row>
    <row r="53" spans="3:23" x14ac:dyDescent="0.25">
      <c r="C53" s="3"/>
      <c r="D53" t="e">
        <f t="shared" si="20"/>
        <v>#DIV/0!</v>
      </c>
      <c r="E53" t="e">
        <f t="shared" si="20"/>
        <v>#DIV/0!</v>
      </c>
      <c r="F53" s="2">
        <f t="shared" si="21"/>
        <v>0</v>
      </c>
      <c r="G53">
        <f t="shared" ref="G53:H53" si="32">100*ROUND(G33,2)</f>
        <v>0</v>
      </c>
      <c r="H53">
        <f t="shared" si="32"/>
        <v>0</v>
      </c>
      <c r="J53" s="3"/>
      <c r="K53" t="e">
        <f t="shared" ref="K53:N53" si="33">100*ROUND(K33,2)</f>
        <v>#DIV/0!</v>
      </c>
      <c r="L53" t="e">
        <f t="shared" si="33"/>
        <v>#DIV/0!</v>
      </c>
      <c r="M53" t="e">
        <f t="shared" si="33"/>
        <v>#DIV/0!</v>
      </c>
      <c r="N53" t="e">
        <f t="shared" si="33"/>
        <v>#DIV/0!</v>
      </c>
      <c r="P53" s="2">
        <f t="shared" si="24"/>
        <v>100</v>
      </c>
      <c r="Q53">
        <f t="shared" si="25"/>
        <v>100</v>
      </c>
      <c r="R53">
        <f t="shared" si="25"/>
        <v>100</v>
      </c>
      <c r="S53" s="2">
        <f t="shared" si="26"/>
        <v>100</v>
      </c>
      <c r="T53">
        <f t="shared" si="27"/>
        <v>100</v>
      </c>
      <c r="U53" t="e">
        <f t="shared" si="27"/>
        <v>#DIV/0!</v>
      </c>
      <c r="V53">
        <f t="shared" si="27"/>
        <v>100</v>
      </c>
      <c r="W53" t="e">
        <f t="shared" si="27"/>
        <v>#DIV/0!</v>
      </c>
    </row>
    <row r="54" spans="3:23" x14ac:dyDescent="0.25">
      <c r="C54" s="3"/>
      <c r="D54" t="e">
        <f t="shared" si="20"/>
        <v>#DIV/0!</v>
      </c>
      <c r="E54" t="e">
        <f t="shared" si="20"/>
        <v>#DIV/0!</v>
      </c>
      <c r="F54" s="2">
        <f t="shared" si="21"/>
        <v>0</v>
      </c>
      <c r="G54">
        <f t="shared" ref="G54:H54" si="34">100*ROUND(G34,2)</f>
        <v>0</v>
      </c>
      <c r="H54">
        <f t="shared" si="34"/>
        <v>0</v>
      </c>
      <c r="J54" s="3"/>
      <c r="K54" t="e">
        <f t="shared" ref="K54:N54" si="35">100*ROUND(K34,2)</f>
        <v>#DIV/0!</v>
      </c>
      <c r="L54" t="e">
        <f t="shared" si="35"/>
        <v>#DIV/0!</v>
      </c>
      <c r="M54" t="e">
        <f t="shared" si="35"/>
        <v>#DIV/0!</v>
      </c>
      <c r="N54" t="e">
        <f t="shared" si="35"/>
        <v>#DIV/0!</v>
      </c>
      <c r="P54" s="2">
        <f t="shared" si="24"/>
        <v>100</v>
      </c>
      <c r="Q54">
        <f t="shared" si="25"/>
        <v>100</v>
      </c>
      <c r="R54">
        <f t="shared" si="25"/>
        <v>100</v>
      </c>
      <c r="S54" s="2">
        <f t="shared" si="26"/>
        <v>100</v>
      </c>
      <c r="T54">
        <f t="shared" si="27"/>
        <v>100</v>
      </c>
      <c r="U54" t="e">
        <f t="shared" si="27"/>
        <v>#DIV/0!</v>
      </c>
      <c r="V54">
        <f t="shared" si="27"/>
        <v>100</v>
      </c>
      <c r="W54" t="e">
        <f t="shared" si="27"/>
        <v>#DIV/0!</v>
      </c>
    </row>
    <row r="55" spans="3:23" x14ac:dyDescent="0.25">
      <c r="C55" s="3"/>
      <c r="D55" t="e">
        <f t="shared" si="20"/>
        <v>#DIV/0!</v>
      </c>
      <c r="E55" t="e">
        <f t="shared" si="20"/>
        <v>#DIV/0!</v>
      </c>
      <c r="F55" s="2">
        <f t="shared" si="21"/>
        <v>0</v>
      </c>
      <c r="G55">
        <f t="shared" ref="G55:H55" si="36">100*ROUND(G35,2)</f>
        <v>0</v>
      </c>
      <c r="H55">
        <f t="shared" si="36"/>
        <v>0</v>
      </c>
      <c r="J55" s="3"/>
      <c r="K55" t="e">
        <f t="shared" ref="K55:N55" si="37">100*ROUND(K35,2)</f>
        <v>#DIV/0!</v>
      </c>
      <c r="L55" t="e">
        <f t="shared" si="37"/>
        <v>#DIV/0!</v>
      </c>
      <c r="M55" t="e">
        <f t="shared" si="37"/>
        <v>#DIV/0!</v>
      </c>
      <c r="N55" t="e">
        <f t="shared" si="37"/>
        <v>#DIV/0!</v>
      </c>
      <c r="P55" s="2">
        <f t="shared" si="24"/>
        <v>100</v>
      </c>
      <c r="Q55">
        <f t="shared" si="25"/>
        <v>100</v>
      </c>
      <c r="R55">
        <f t="shared" si="25"/>
        <v>100</v>
      </c>
      <c r="S55" s="2">
        <f t="shared" si="26"/>
        <v>100</v>
      </c>
      <c r="T55">
        <f t="shared" si="27"/>
        <v>100</v>
      </c>
      <c r="U55" t="e">
        <f t="shared" si="27"/>
        <v>#DIV/0!</v>
      </c>
      <c r="V55">
        <f t="shared" si="27"/>
        <v>100</v>
      </c>
      <c r="W55" t="e">
        <f t="shared" si="27"/>
        <v>#DIV/0!</v>
      </c>
    </row>
    <row r="56" spans="3:23" x14ac:dyDescent="0.25">
      <c r="C56" s="3"/>
      <c r="D56" t="e">
        <f t="shared" si="20"/>
        <v>#DIV/0!</v>
      </c>
      <c r="E56" t="e">
        <f t="shared" si="20"/>
        <v>#DIV/0!</v>
      </c>
      <c r="F56" s="2">
        <f t="shared" si="21"/>
        <v>0</v>
      </c>
      <c r="G56">
        <f t="shared" ref="G56:H56" si="38">100*ROUND(G36,2)</f>
        <v>0</v>
      </c>
      <c r="H56">
        <f t="shared" si="38"/>
        <v>0</v>
      </c>
      <c r="J56" s="3"/>
      <c r="K56" t="e">
        <f t="shared" ref="K56:N56" si="39">100*ROUND(K36,2)</f>
        <v>#DIV/0!</v>
      </c>
      <c r="L56" t="e">
        <f t="shared" si="39"/>
        <v>#DIV/0!</v>
      </c>
      <c r="M56" t="e">
        <f t="shared" si="39"/>
        <v>#DIV/0!</v>
      </c>
      <c r="N56" t="e">
        <f t="shared" si="39"/>
        <v>#DIV/0!</v>
      </c>
      <c r="P56" s="2">
        <f t="shared" si="24"/>
        <v>100</v>
      </c>
      <c r="Q56">
        <f t="shared" si="25"/>
        <v>100</v>
      </c>
      <c r="R56">
        <f t="shared" si="25"/>
        <v>100</v>
      </c>
      <c r="S56" s="2">
        <f t="shared" si="26"/>
        <v>100</v>
      </c>
      <c r="T56">
        <f t="shared" si="27"/>
        <v>100</v>
      </c>
      <c r="U56" t="e">
        <f t="shared" si="27"/>
        <v>#DIV/0!</v>
      </c>
      <c r="V56">
        <f t="shared" si="27"/>
        <v>100</v>
      </c>
      <c r="W56" t="e">
        <f t="shared" si="27"/>
        <v>#DIV/0!</v>
      </c>
    </row>
    <row r="57" spans="3:23" x14ac:dyDescent="0.25">
      <c r="C57" s="3"/>
      <c r="D57" t="e">
        <f t="shared" si="20"/>
        <v>#DIV/0!</v>
      </c>
      <c r="E57" t="e">
        <f t="shared" si="20"/>
        <v>#DIV/0!</v>
      </c>
      <c r="F57" s="2">
        <f t="shared" si="21"/>
        <v>0</v>
      </c>
      <c r="G57">
        <f t="shared" ref="G57:H57" si="40">100*ROUND(G37,2)</f>
        <v>0</v>
      </c>
      <c r="H57">
        <f t="shared" si="40"/>
        <v>0</v>
      </c>
      <c r="J57" s="3"/>
      <c r="K57" t="e">
        <f t="shared" ref="K57:N57" si="41">100*ROUND(K37,2)</f>
        <v>#DIV/0!</v>
      </c>
      <c r="L57" t="e">
        <f t="shared" si="41"/>
        <v>#DIV/0!</v>
      </c>
      <c r="M57" t="e">
        <f t="shared" si="41"/>
        <v>#DIV/0!</v>
      </c>
      <c r="N57" t="e">
        <f t="shared" si="41"/>
        <v>#DIV/0!</v>
      </c>
      <c r="P57" s="2">
        <f t="shared" si="24"/>
        <v>0</v>
      </c>
      <c r="Q57">
        <f t="shared" si="25"/>
        <v>0</v>
      </c>
      <c r="R57">
        <f t="shared" si="25"/>
        <v>0</v>
      </c>
      <c r="S57" s="2">
        <f t="shared" si="26"/>
        <v>0</v>
      </c>
      <c r="T57">
        <f t="shared" si="27"/>
        <v>0</v>
      </c>
      <c r="U57" t="e">
        <f t="shared" si="27"/>
        <v>#DIV/0!</v>
      </c>
      <c r="V57">
        <f t="shared" si="27"/>
        <v>0</v>
      </c>
      <c r="W57" t="e">
        <f t="shared" si="27"/>
        <v>#DIV/0!</v>
      </c>
    </row>
    <row r="58" spans="3:23" x14ac:dyDescent="0.25">
      <c r="C58" s="3"/>
      <c r="D58" t="e">
        <f t="shared" si="20"/>
        <v>#DIV/0!</v>
      </c>
      <c r="E58" t="e">
        <f t="shared" si="20"/>
        <v>#DIV/0!</v>
      </c>
      <c r="F58" s="2">
        <f t="shared" si="21"/>
        <v>100</v>
      </c>
      <c r="G58">
        <f t="shared" ref="G58:H58" si="42">100*ROUND(G38,2)</f>
        <v>100</v>
      </c>
      <c r="H58">
        <f t="shared" si="42"/>
        <v>100</v>
      </c>
      <c r="J58" s="3"/>
      <c r="K58" t="e">
        <f t="shared" ref="K58:N58" si="43">100*ROUND(K38,2)</f>
        <v>#DIV/0!</v>
      </c>
      <c r="L58" t="e">
        <f t="shared" si="43"/>
        <v>#DIV/0!</v>
      </c>
      <c r="M58" t="e">
        <f t="shared" si="43"/>
        <v>#DIV/0!</v>
      </c>
      <c r="N58" t="e">
        <f t="shared" si="43"/>
        <v>#DIV/0!</v>
      </c>
      <c r="P58" s="2">
        <f t="shared" si="24"/>
        <v>0</v>
      </c>
      <c r="Q58">
        <f t="shared" si="25"/>
        <v>0</v>
      </c>
      <c r="R58">
        <f t="shared" si="25"/>
        <v>0</v>
      </c>
      <c r="S58" s="2">
        <f t="shared" si="26"/>
        <v>0</v>
      </c>
      <c r="T58">
        <f t="shared" si="27"/>
        <v>0</v>
      </c>
      <c r="U58" t="e">
        <f t="shared" si="27"/>
        <v>#DIV/0!</v>
      </c>
      <c r="V58">
        <f t="shared" si="27"/>
        <v>0</v>
      </c>
      <c r="W58" t="e">
        <f t="shared" si="27"/>
        <v>#DIV/0!</v>
      </c>
    </row>
    <row r="59" spans="3:23" x14ac:dyDescent="0.25">
      <c r="C59" s="3"/>
      <c r="D59" t="e">
        <f t="shared" si="20"/>
        <v>#DIV/0!</v>
      </c>
      <c r="E59" t="e">
        <f t="shared" si="20"/>
        <v>#DIV/0!</v>
      </c>
      <c r="F59" s="2">
        <f t="shared" si="21"/>
        <v>100</v>
      </c>
      <c r="G59">
        <f t="shared" ref="G59:H59" si="44">100*ROUND(G39,2)</f>
        <v>100</v>
      </c>
      <c r="H59">
        <f t="shared" si="44"/>
        <v>100</v>
      </c>
      <c r="J59" s="3"/>
      <c r="K59" t="e">
        <f t="shared" ref="K59:N59" si="45">100*ROUND(K39,2)</f>
        <v>#DIV/0!</v>
      </c>
      <c r="L59" t="e">
        <f t="shared" si="45"/>
        <v>#DIV/0!</v>
      </c>
      <c r="M59" t="e">
        <f t="shared" si="45"/>
        <v>#DIV/0!</v>
      </c>
      <c r="N59" t="e">
        <f t="shared" si="45"/>
        <v>#DIV/0!</v>
      </c>
      <c r="P59" s="2">
        <f t="shared" si="24"/>
        <v>0</v>
      </c>
      <c r="Q59">
        <f t="shared" si="25"/>
        <v>0</v>
      </c>
      <c r="R59">
        <f t="shared" si="25"/>
        <v>0</v>
      </c>
      <c r="S59" s="2">
        <f t="shared" si="26"/>
        <v>0</v>
      </c>
      <c r="T59">
        <f t="shared" si="27"/>
        <v>0</v>
      </c>
      <c r="U59" t="e">
        <f t="shared" si="27"/>
        <v>#DIV/0!</v>
      </c>
      <c r="V59">
        <f t="shared" si="27"/>
        <v>0</v>
      </c>
      <c r="W59" t="e">
        <f t="shared" si="27"/>
        <v>#DIV/0!</v>
      </c>
    </row>
    <row r="60" spans="3:23" x14ac:dyDescent="0.25">
      <c r="C60" s="3"/>
      <c r="D60" t="e">
        <f t="shared" si="20"/>
        <v>#DIV/0!</v>
      </c>
      <c r="E60" t="e">
        <f t="shared" si="20"/>
        <v>#DIV/0!</v>
      </c>
      <c r="F60" s="2">
        <f t="shared" si="21"/>
        <v>100</v>
      </c>
      <c r="G60">
        <f t="shared" ref="G60:H60" si="46">100*ROUND(G40,2)</f>
        <v>100</v>
      </c>
      <c r="H60">
        <f t="shared" si="46"/>
        <v>100</v>
      </c>
      <c r="J60" s="3"/>
      <c r="K60" t="e">
        <f t="shared" ref="K60:N60" si="47">100*ROUND(K40,2)</f>
        <v>#DIV/0!</v>
      </c>
      <c r="L60" t="e">
        <f t="shared" si="47"/>
        <v>#DIV/0!</v>
      </c>
      <c r="M60" t="e">
        <f t="shared" si="47"/>
        <v>#DIV/0!</v>
      </c>
      <c r="N60" t="e">
        <f t="shared" si="47"/>
        <v>#DIV/0!</v>
      </c>
      <c r="P60" s="2">
        <f t="shared" si="24"/>
        <v>0</v>
      </c>
      <c r="Q60">
        <f t="shared" si="25"/>
        <v>0</v>
      </c>
      <c r="R60">
        <f t="shared" si="25"/>
        <v>0</v>
      </c>
      <c r="S60" s="2">
        <f t="shared" si="26"/>
        <v>0</v>
      </c>
      <c r="T60">
        <f t="shared" si="27"/>
        <v>0</v>
      </c>
      <c r="U60" t="e">
        <f t="shared" si="27"/>
        <v>#DIV/0!</v>
      </c>
      <c r="V60">
        <f t="shared" si="27"/>
        <v>0</v>
      </c>
      <c r="W60" t="e">
        <f t="shared" si="27"/>
        <v>#DIV/0!</v>
      </c>
    </row>
    <row r="61" spans="3:23" x14ac:dyDescent="0.25">
      <c r="C61" s="3"/>
      <c r="D61" t="e">
        <f t="shared" si="20"/>
        <v>#DIV/0!</v>
      </c>
      <c r="E61" t="e">
        <f t="shared" si="20"/>
        <v>#DIV/0!</v>
      </c>
      <c r="F61" s="2">
        <f t="shared" si="21"/>
        <v>100</v>
      </c>
      <c r="G61">
        <f t="shared" ref="G61:H61" si="48">100*ROUND(G41,2)</f>
        <v>100</v>
      </c>
      <c r="H61">
        <f t="shared" si="48"/>
        <v>100</v>
      </c>
      <c r="J61" s="3"/>
      <c r="K61" t="e">
        <f t="shared" ref="K61:N61" si="49">100*ROUND(K41,2)</f>
        <v>#DIV/0!</v>
      </c>
      <c r="L61" t="e">
        <f t="shared" si="49"/>
        <v>#DIV/0!</v>
      </c>
      <c r="M61" t="e">
        <f t="shared" si="49"/>
        <v>#DIV/0!</v>
      </c>
      <c r="N61" t="e">
        <f t="shared" si="49"/>
        <v>#DIV/0!</v>
      </c>
      <c r="P61" s="2">
        <f t="shared" si="24"/>
        <v>0</v>
      </c>
      <c r="Q61">
        <f t="shared" si="25"/>
        <v>0</v>
      </c>
      <c r="R61">
        <f t="shared" si="25"/>
        <v>0</v>
      </c>
      <c r="S61" s="2">
        <f t="shared" si="26"/>
        <v>0</v>
      </c>
      <c r="T61">
        <f t="shared" si="27"/>
        <v>0</v>
      </c>
      <c r="U61" t="e">
        <f t="shared" si="27"/>
        <v>#DIV/0!</v>
      </c>
      <c r="V61">
        <f t="shared" si="27"/>
        <v>0</v>
      </c>
      <c r="W61" t="e">
        <f t="shared" si="27"/>
        <v>#DIV/0!</v>
      </c>
    </row>
    <row r="62" spans="3:23" x14ac:dyDescent="0.25">
      <c r="C62" s="3"/>
      <c r="D62" t="e">
        <f t="shared" si="20"/>
        <v>#DIV/0!</v>
      </c>
      <c r="E62" t="e">
        <f t="shared" si="20"/>
        <v>#DIV/0!</v>
      </c>
      <c r="F62" s="2">
        <f t="shared" si="21"/>
        <v>0</v>
      </c>
      <c r="G62">
        <f t="shared" ref="G62:H62" si="50">100*ROUND(G42,2)</f>
        <v>0</v>
      </c>
      <c r="H62">
        <f t="shared" si="50"/>
        <v>0</v>
      </c>
      <c r="J62" s="3"/>
      <c r="K62" t="e">
        <f t="shared" ref="K62:N62" si="51">100*ROUND(K42,2)</f>
        <v>#DIV/0!</v>
      </c>
      <c r="L62" t="e">
        <f t="shared" si="51"/>
        <v>#DIV/0!</v>
      </c>
      <c r="M62" t="e">
        <f t="shared" si="51"/>
        <v>#DIV/0!</v>
      </c>
      <c r="N62" t="e">
        <f t="shared" si="51"/>
        <v>#DIV/0!</v>
      </c>
      <c r="P62" s="2">
        <f t="shared" si="24"/>
        <v>100</v>
      </c>
      <c r="Q62">
        <f t="shared" si="25"/>
        <v>100</v>
      </c>
      <c r="R62">
        <f t="shared" si="25"/>
        <v>100</v>
      </c>
      <c r="S62" s="2">
        <f t="shared" si="26"/>
        <v>100</v>
      </c>
      <c r="T62">
        <f t="shared" si="27"/>
        <v>100</v>
      </c>
      <c r="U62" t="e">
        <f t="shared" si="27"/>
        <v>#DIV/0!</v>
      </c>
      <c r="V62">
        <f t="shared" si="27"/>
        <v>100</v>
      </c>
      <c r="W62" t="e">
        <f t="shared" si="27"/>
        <v>#DIV/0!</v>
      </c>
    </row>
    <row r="63" spans="3:23" x14ac:dyDescent="0.25">
      <c r="C63" s="3"/>
      <c r="D63" t="e">
        <f t="shared" si="20"/>
        <v>#DIV/0!</v>
      </c>
      <c r="E63" t="e">
        <f t="shared" si="20"/>
        <v>#DIV/0!</v>
      </c>
      <c r="F63" s="2">
        <f t="shared" si="21"/>
        <v>0</v>
      </c>
      <c r="G63">
        <f t="shared" ref="G63:H63" si="52">100*ROUND(G43,2)</f>
        <v>0</v>
      </c>
      <c r="H63">
        <f t="shared" si="52"/>
        <v>0</v>
      </c>
      <c r="J63" s="3"/>
      <c r="K63" t="e">
        <f t="shared" ref="K63:N63" si="53">100*ROUND(K43,2)</f>
        <v>#DIV/0!</v>
      </c>
      <c r="L63" t="e">
        <f t="shared" si="53"/>
        <v>#DIV/0!</v>
      </c>
      <c r="M63" t="e">
        <f t="shared" si="53"/>
        <v>#DIV/0!</v>
      </c>
      <c r="N63" t="e">
        <f t="shared" si="53"/>
        <v>#DIV/0!</v>
      </c>
      <c r="P63" s="2">
        <f t="shared" si="24"/>
        <v>100</v>
      </c>
      <c r="Q63">
        <f t="shared" si="25"/>
        <v>100</v>
      </c>
      <c r="R63">
        <f t="shared" si="25"/>
        <v>100</v>
      </c>
      <c r="S63" s="2">
        <f t="shared" si="26"/>
        <v>100</v>
      </c>
      <c r="T63">
        <f t="shared" si="27"/>
        <v>100</v>
      </c>
      <c r="U63" t="e">
        <f t="shared" si="27"/>
        <v>#DIV/0!</v>
      </c>
      <c r="V63">
        <f t="shared" si="27"/>
        <v>100</v>
      </c>
      <c r="W63" t="e">
        <f t="shared" si="27"/>
        <v>#DIV/0!</v>
      </c>
    </row>
    <row r="64" spans="3:23" x14ac:dyDescent="0.25">
      <c r="C64" s="3"/>
      <c r="D64" t="e">
        <f t="shared" si="20"/>
        <v>#DIV/0!</v>
      </c>
      <c r="E64" t="e">
        <f t="shared" si="20"/>
        <v>#DIV/0!</v>
      </c>
      <c r="F64" s="2">
        <f t="shared" si="21"/>
        <v>0</v>
      </c>
      <c r="G64">
        <f t="shared" ref="G64:H64" si="54">100*ROUND(G44,2)</f>
        <v>0</v>
      </c>
      <c r="H64">
        <f t="shared" si="54"/>
        <v>0</v>
      </c>
      <c r="J64" s="3"/>
      <c r="K64" t="e">
        <f t="shared" ref="K64:N64" si="55">100*ROUND(K44,2)</f>
        <v>#DIV/0!</v>
      </c>
      <c r="L64" t="e">
        <f t="shared" si="55"/>
        <v>#DIV/0!</v>
      </c>
      <c r="M64" t="e">
        <f t="shared" si="55"/>
        <v>#DIV/0!</v>
      </c>
      <c r="N64" t="e">
        <f t="shared" si="55"/>
        <v>#DIV/0!</v>
      </c>
      <c r="P64" s="2">
        <f t="shared" si="24"/>
        <v>100</v>
      </c>
      <c r="Q64">
        <f t="shared" si="25"/>
        <v>100</v>
      </c>
      <c r="R64">
        <f t="shared" si="25"/>
        <v>100</v>
      </c>
      <c r="S64" s="2">
        <f t="shared" si="26"/>
        <v>100</v>
      </c>
      <c r="T64">
        <f t="shared" si="27"/>
        <v>100</v>
      </c>
      <c r="U64" t="e">
        <f t="shared" si="27"/>
        <v>#DIV/0!</v>
      </c>
      <c r="V64">
        <f t="shared" si="27"/>
        <v>100</v>
      </c>
      <c r="W64" t="e">
        <f t="shared" si="27"/>
        <v>#DIV/0!</v>
      </c>
    </row>
    <row r="65" spans="3:23" x14ac:dyDescent="0.25">
      <c r="C65" s="3"/>
      <c r="D65" t="e">
        <f t="shared" si="20"/>
        <v>#DIV/0!</v>
      </c>
      <c r="E65" t="e">
        <f t="shared" si="20"/>
        <v>#DIV/0!</v>
      </c>
      <c r="F65" s="2">
        <f t="shared" si="21"/>
        <v>0</v>
      </c>
      <c r="G65">
        <f t="shared" ref="G65:H65" si="56">100*ROUND(G45,2)</f>
        <v>0</v>
      </c>
      <c r="H65">
        <f t="shared" si="56"/>
        <v>0</v>
      </c>
      <c r="J65" s="3"/>
      <c r="K65" t="e">
        <f t="shared" ref="K65:N65" si="57">100*ROUND(K45,2)</f>
        <v>#DIV/0!</v>
      </c>
      <c r="L65" t="e">
        <f t="shared" si="57"/>
        <v>#DIV/0!</v>
      </c>
      <c r="M65" t="e">
        <f t="shared" si="57"/>
        <v>#DIV/0!</v>
      </c>
      <c r="N65" t="e">
        <f t="shared" si="57"/>
        <v>#DIV/0!</v>
      </c>
      <c r="P65" s="2">
        <f t="shared" si="24"/>
        <v>100</v>
      </c>
      <c r="Q65">
        <f t="shared" si="25"/>
        <v>100</v>
      </c>
      <c r="R65">
        <f t="shared" si="25"/>
        <v>100</v>
      </c>
      <c r="S65" s="2">
        <f t="shared" si="26"/>
        <v>100</v>
      </c>
      <c r="T65">
        <f t="shared" si="27"/>
        <v>100</v>
      </c>
      <c r="U65" t="e">
        <f t="shared" si="27"/>
        <v>#DIV/0!</v>
      </c>
      <c r="V65">
        <f t="shared" si="27"/>
        <v>100</v>
      </c>
      <c r="W65" t="e">
        <f t="shared" si="27"/>
        <v>#DIV/0!</v>
      </c>
    </row>
    <row r="66" spans="3:23" x14ac:dyDescent="0.25">
      <c r="C66" s="3"/>
      <c r="D66" t="e">
        <f t="shared" si="20"/>
        <v>#DIV/0!</v>
      </c>
      <c r="E66" t="e">
        <f t="shared" si="20"/>
        <v>#DIV/0!</v>
      </c>
      <c r="F66" s="2">
        <f t="shared" si="21"/>
        <v>0</v>
      </c>
      <c r="G66">
        <f t="shared" ref="G66:H66" si="58">100*ROUND(G46,2)</f>
        <v>0</v>
      </c>
      <c r="H66">
        <f t="shared" si="58"/>
        <v>0</v>
      </c>
      <c r="J66" s="3"/>
      <c r="K66" t="e">
        <f t="shared" ref="K66:N66" si="59">100*ROUND(K46,2)</f>
        <v>#DIV/0!</v>
      </c>
      <c r="L66" t="e">
        <f t="shared" si="59"/>
        <v>#DIV/0!</v>
      </c>
      <c r="M66" t="e">
        <f t="shared" si="59"/>
        <v>#DIV/0!</v>
      </c>
      <c r="N66" t="e">
        <f t="shared" si="59"/>
        <v>#DIV/0!</v>
      </c>
      <c r="P66" s="2">
        <f t="shared" si="24"/>
        <v>0</v>
      </c>
      <c r="Q66">
        <f t="shared" si="25"/>
        <v>0</v>
      </c>
      <c r="R66">
        <f t="shared" si="25"/>
        <v>0</v>
      </c>
      <c r="S66" s="2">
        <f t="shared" si="26"/>
        <v>0</v>
      </c>
      <c r="T66">
        <f t="shared" si="27"/>
        <v>0</v>
      </c>
      <c r="U66" t="e">
        <f t="shared" si="27"/>
        <v>#DIV/0!</v>
      </c>
      <c r="V66">
        <f t="shared" si="27"/>
        <v>0</v>
      </c>
      <c r="W66" t="e">
        <f t="shared" si="27"/>
        <v>#DIV/0!</v>
      </c>
    </row>
    <row r="69" spans="3:23" x14ac:dyDescent="0.25">
      <c r="F69" s="2" t="s">
        <v>54</v>
      </c>
      <c r="P69" s="2" t="s">
        <v>55</v>
      </c>
      <c r="S69" s="2" t="s">
        <v>56</v>
      </c>
    </row>
    <row r="70" spans="3:23" x14ac:dyDescent="0.25">
      <c r="F70" s="7">
        <v>0.41064580151681995</v>
      </c>
      <c r="P70" s="7">
        <v>0.31319326812742476</v>
      </c>
      <c r="S70" s="7">
        <v>0.27616093035575534</v>
      </c>
    </row>
    <row r="73" spans="3:23" x14ac:dyDescent="0.25">
      <c r="F73">
        <v>0.41060000000000002</v>
      </c>
      <c r="P73">
        <v>0.31319999999999998</v>
      </c>
      <c r="S73">
        <v>0.2762</v>
      </c>
      <c r="U73" s="8">
        <f>SUM(F73:T73)</f>
        <v>1</v>
      </c>
    </row>
    <row r="77" spans="3:23" x14ac:dyDescent="0.25">
      <c r="F77">
        <v>100</v>
      </c>
      <c r="G77">
        <v>0</v>
      </c>
      <c r="H77">
        <v>0</v>
      </c>
    </row>
    <row r="78" spans="3:23" x14ac:dyDescent="0.25">
      <c r="F78">
        <v>100</v>
      </c>
      <c r="G78">
        <v>0</v>
      </c>
      <c r="H78">
        <v>0</v>
      </c>
    </row>
    <row r="79" spans="3:23" x14ac:dyDescent="0.25">
      <c r="F79">
        <v>100</v>
      </c>
      <c r="G79">
        <v>0</v>
      </c>
      <c r="H79">
        <v>0</v>
      </c>
    </row>
    <row r="80" spans="3:23" x14ac:dyDescent="0.25">
      <c r="F80">
        <v>100</v>
      </c>
      <c r="G80">
        <v>0</v>
      </c>
      <c r="H80">
        <v>0</v>
      </c>
    </row>
    <row r="81" spans="6:8" x14ac:dyDescent="0.25">
      <c r="F81">
        <v>0</v>
      </c>
      <c r="G81">
        <v>100</v>
      </c>
      <c r="H81">
        <v>100</v>
      </c>
    </row>
    <row r="82" spans="6:8" x14ac:dyDescent="0.25">
      <c r="F82">
        <v>0</v>
      </c>
      <c r="G82">
        <v>100</v>
      </c>
      <c r="H82">
        <v>100</v>
      </c>
    </row>
    <row r="83" spans="6:8" x14ac:dyDescent="0.25">
      <c r="F83">
        <v>0</v>
      </c>
      <c r="G83">
        <v>100</v>
      </c>
      <c r="H83">
        <v>100</v>
      </c>
    </row>
    <row r="84" spans="6:8" x14ac:dyDescent="0.25">
      <c r="F84">
        <v>0</v>
      </c>
      <c r="G84">
        <v>100</v>
      </c>
      <c r="H84">
        <v>100</v>
      </c>
    </row>
    <row r="85" spans="6:8" x14ac:dyDescent="0.25">
      <c r="F85">
        <v>0</v>
      </c>
      <c r="G85">
        <v>0</v>
      </c>
      <c r="H85">
        <v>0</v>
      </c>
    </row>
    <row r="86" spans="6:8" x14ac:dyDescent="0.25">
      <c r="F86">
        <v>100</v>
      </c>
      <c r="G86">
        <v>0</v>
      </c>
      <c r="H86">
        <v>0</v>
      </c>
    </row>
    <row r="87" spans="6:8" x14ac:dyDescent="0.25">
      <c r="F87">
        <v>100</v>
      </c>
      <c r="G87">
        <v>0</v>
      </c>
      <c r="H87">
        <v>0</v>
      </c>
    </row>
    <row r="88" spans="6:8" x14ac:dyDescent="0.25">
      <c r="F88">
        <v>100</v>
      </c>
      <c r="G88">
        <v>0</v>
      </c>
      <c r="H88">
        <v>0</v>
      </c>
    </row>
    <row r="89" spans="6:8" x14ac:dyDescent="0.25">
      <c r="F89">
        <v>100</v>
      </c>
      <c r="G89">
        <v>0</v>
      </c>
      <c r="H89">
        <v>0</v>
      </c>
    </row>
    <row r="90" spans="6:8" x14ac:dyDescent="0.25">
      <c r="F90">
        <v>0</v>
      </c>
      <c r="G90">
        <v>100</v>
      </c>
      <c r="H90">
        <v>100</v>
      </c>
    </row>
    <row r="91" spans="6:8" x14ac:dyDescent="0.25">
      <c r="F91">
        <v>0</v>
      </c>
      <c r="G91">
        <v>100</v>
      </c>
      <c r="H91">
        <v>100</v>
      </c>
    </row>
    <row r="92" spans="6:8" x14ac:dyDescent="0.25">
      <c r="F92">
        <v>0</v>
      </c>
      <c r="G92">
        <v>100</v>
      </c>
      <c r="H92">
        <v>100</v>
      </c>
    </row>
    <row r="93" spans="6:8" x14ac:dyDescent="0.25">
      <c r="F93">
        <v>0</v>
      </c>
      <c r="G93">
        <v>100</v>
      </c>
      <c r="H93">
        <v>100</v>
      </c>
    </row>
    <row r="94" spans="6:8" x14ac:dyDescent="0.25">
      <c r="F94">
        <v>0</v>
      </c>
      <c r="G94">
        <v>0</v>
      </c>
      <c r="H9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2025-12-11T19:17:41Z</dcterms:modified>
</cp:coreProperties>
</file>