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Plastics\"/>
    </mc:Choice>
  </mc:AlternateContent>
  <xr:revisionPtr revIDLastSave="0" documentId="13_ncr:1_{1CF87DA9-A0AF-4D0A-8521-CD5C17D74B4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0" i="1" l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49" i="1"/>
  <c r="AK50" i="1"/>
  <c r="AL50" i="1"/>
  <c r="AM50" i="1"/>
  <c r="AN50" i="1"/>
  <c r="AO50" i="1"/>
  <c r="AP50" i="1"/>
  <c r="AK51" i="1"/>
  <c r="AL51" i="1"/>
  <c r="AM51" i="1"/>
  <c r="AN51" i="1"/>
  <c r="AO51" i="1"/>
  <c r="AP51" i="1"/>
  <c r="AK52" i="1"/>
  <c r="AL52" i="1"/>
  <c r="AM52" i="1"/>
  <c r="AN52" i="1"/>
  <c r="AO52" i="1"/>
  <c r="AP52" i="1"/>
  <c r="AK53" i="1"/>
  <c r="AL53" i="1"/>
  <c r="AM53" i="1"/>
  <c r="AN53" i="1"/>
  <c r="AO53" i="1"/>
  <c r="AP53" i="1"/>
  <c r="AK54" i="1"/>
  <c r="AL54" i="1"/>
  <c r="AM54" i="1"/>
  <c r="AN54" i="1"/>
  <c r="AO54" i="1"/>
  <c r="AP54" i="1"/>
  <c r="AK55" i="1"/>
  <c r="AL55" i="1"/>
  <c r="AM55" i="1"/>
  <c r="AN55" i="1"/>
  <c r="AO55" i="1"/>
  <c r="AP55" i="1"/>
  <c r="AK56" i="1"/>
  <c r="AL56" i="1"/>
  <c r="AM56" i="1"/>
  <c r="AN56" i="1"/>
  <c r="AO56" i="1"/>
  <c r="AP56" i="1"/>
  <c r="AK57" i="1"/>
  <c r="AL57" i="1"/>
  <c r="AM57" i="1"/>
  <c r="AN57" i="1"/>
  <c r="AO57" i="1"/>
  <c r="AP57" i="1"/>
  <c r="AK58" i="1"/>
  <c r="AL58" i="1"/>
  <c r="AM58" i="1"/>
  <c r="AN58" i="1"/>
  <c r="AO58" i="1"/>
  <c r="AP58" i="1"/>
  <c r="AK59" i="1"/>
  <c r="AL59" i="1"/>
  <c r="AM59" i="1"/>
  <c r="AN59" i="1"/>
  <c r="AO59" i="1"/>
  <c r="AP59" i="1"/>
  <c r="AK60" i="1"/>
  <c r="AL60" i="1"/>
  <c r="AM60" i="1"/>
  <c r="AN60" i="1"/>
  <c r="AO60" i="1"/>
  <c r="AP60" i="1"/>
  <c r="AK61" i="1"/>
  <c r="AL61" i="1"/>
  <c r="AM61" i="1"/>
  <c r="AN61" i="1"/>
  <c r="AO61" i="1"/>
  <c r="AP61" i="1"/>
  <c r="AK62" i="1"/>
  <c r="AL62" i="1"/>
  <c r="AM62" i="1"/>
  <c r="AN62" i="1"/>
  <c r="AO62" i="1"/>
  <c r="AP62" i="1"/>
  <c r="AK63" i="1"/>
  <c r="AL63" i="1"/>
  <c r="AM63" i="1"/>
  <c r="AN63" i="1"/>
  <c r="AO63" i="1"/>
  <c r="AP63" i="1"/>
  <c r="AK64" i="1"/>
  <c r="AL64" i="1"/>
  <c r="AM64" i="1"/>
  <c r="AN64" i="1"/>
  <c r="AO64" i="1"/>
  <c r="AP64" i="1"/>
  <c r="AK65" i="1"/>
  <c r="AL65" i="1"/>
  <c r="AM65" i="1"/>
  <c r="AN65" i="1"/>
  <c r="AO65" i="1"/>
  <c r="AP65" i="1"/>
  <c r="AK66" i="1"/>
  <c r="AL66" i="1"/>
  <c r="AM66" i="1"/>
  <c r="AN66" i="1"/>
  <c r="AO66" i="1"/>
  <c r="AP66" i="1"/>
  <c r="AL49" i="1"/>
  <c r="AM49" i="1"/>
  <c r="AN49" i="1"/>
  <c r="AO49" i="1"/>
  <c r="AP49" i="1"/>
  <c r="AK4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29" i="1"/>
  <c r="AL26" i="1"/>
  <c r="AM26" i="1"/>
  <c r="AN26" i="1"/>
  <c r="AO26" i="1"/>
  <c r="AP26" i="1"/>
  <c r="AK26" i="1"/>
  <c r="AL25" i="1"/>
  <c r="AM25" i="1"/>
  <c r="AN25" i="1"/>
  <c r="AO25" i="1"/>
  <c r="AP25" i="1"/>
  <c r="AK25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49" i="1"/>
  <c r="AD49" i="1"/>
  <c r="AE49" i="1"/>
  <c r="AF49" i="1"/>
  <c r="AG49" i="1"/>
  <c r="AH49" i="1"/>
  <c r="AI49" i="1"/>
  <c r="AD50" i="1"/>
  <c r="AE50" i="1"/>
  <c r="AF50" i="1"/>
  <c r="AG50" i="1"/>
  <c r="AH50" i="1"/>
  <c r="AI50" i="1"/>
  <c r="AD51" i="1"/>
  <c r="AE51" i="1"/>
  <c r="AF51" i="1"/>
  <c r="AG51" i="1"/>
  <c r="AH51" i="1"/>
  <c r="AI51" i="1"/>
  <c r="AD52" i="1"/>
  <c r="AE52" i="1"/>
  <c r="AF52" i="1"/>
  <c r="AG52" i="1"/>
  <c r="AH52" i="1"/>
  <c r="AI52" i="1"/>
  <c r="AD53" i="1"/>
  <c r="AE53" i="1"/>
  <c r="AF53" i="1"/>
  <c r="AG53" i="1"/>
  <c r="AH53" i="1"/>
  <c r="AI53" i="1"/>
  <c r="AD54" i="1"/>
  <c r="AE54" i="1"/>
  <c r="AF54" i="1"/>
  <c r="AG54" i="1"/>
  <c r="AH54" i="1"/>
  <c r="AI54" i="1"/>
  <c r="AD55" i="1"/>
  <c r="AE55" i="1"/>
  <c r="AF55" i="1"/>
  <c r="AG55" i="1"/>
  <c r="AH55" i="1"/>
  <c r="AI55" i="1"/>
  <c r="AD56" i="1"/>
  <c r="AE56" i="1"/>
  <c r="AF56" i="1"/>
  <c r="AG56" i="1"/>
  <c r="AH56" i="1"/>
  <c r="AI56" i="1"/>
  <c r="AD57" i="1"/>
  <c r="AE57" i="1"/>
  <c r="AF57" i="1"/>
  <c r="AG57" i="1"/>
  <c r="AH57" i="1"/>
  <c r="AI57" i="1"/>
  <c r="AD58" i="1"/>
  <c r="AE58" i="1"/>
  <c r="AF58" i="1"/>
  <c r="AG58" i="1"/>
  <c r="AH58" i="1"/>
  <c r="AI58" i="1"/>
  <c r="AD59" i="1"/>
  <c r="AE59" i="1"/>
  <c r="AF59" i="1"/>
  <c r="AG59" i="1"/>
  <c r="AH59" i="1"/>
  <c r="AI59" i="1"/>
  <c r="AD60" i="1"/>
  <c r="AE60" i="1"/>
  <c r="AF60" i="1"/>
  <c r="AG60" i="1"/>
  <c r="AH60" i="1"/>
  <c r="AI60" i="1"/>
  <c r="AD61" i="1"/>
  <c r="AE61" i="1"/>
  <c r="AF61" i="1"/>
  <c r="AG61" i="1"/>
  <c r="AH61" i="1"/>
  <c r="AI61" i="1"/>
  <c r="AD62" i="1"/>
  <c r="AE62" i="1"/>
  <c r="AF62" i="1"/>
  <c r="AG62" i="1"/>
  <c r="AH62" i="1"/>
  <c r="AI62" i="1"/>
  <c r="AD63" i="1"/>
  <c r="AE63" i="1"/>
  <c r="AF63" i="1"/>
  <c r="AG63" i="1"/>
  <c r="AH63" i="1"/>
  <c r="AI63" i="1"/>
  <c r="AD64" i="1"/>
  <c r="AE64" i="1"/>
  <c r="AF64" i="1"/>
  <c r="AG64" i="1"/>
  <c r="AH64" i="1"/>
  <c r="AI64" i="1"/>
  <c r="AD65" i="1"/>
  <c r="AE65" i="1"/>
  <c r="AF65" i="1"/>
  <c r="AG65" i="1"/>
  <c r="AH65" i="1"/>
  <c r="AI65" i="1"/>
  <c r="AD66" i="1"/>
  <c r="AE66" i="1"/>
  <c r="AF66" i="1"/>
  <c r="AG66" i="1"/>
  <c r="AH66" i="1"/>
  <c r="AI66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4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29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D26" i="1"/>
  <c r="AE26" i="1"/>
  <c r="AF26" i="1"/>
  <c r="AG26" i="1"/>
  <c r="AH26" i="1"/>
  <c r="AI26" i="1"/>
  <c r="AC26" i="1"/>
  <c r="AD25" i="1"/>
  <c r="AE25" i="1"/>
  <c r="AF25" i="1"/>
  <c r="AG25" i="1"/>
  <c r="AH25" i="1"/>
  <c r="AI25" i="1"/>
  <c r="AC25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49" i="1"/>
  <c r="W49" i="1"/>
  <c r="X49" i="1"/>
  <c r="Y49" i="1"/>
  <c r="Z49" i="1"/>
  <c r="AA49" i="1"/>
  <c r="W50" i="1"/>
  <c r="X50" i="1"/>
  <c r="Y50" i="1"/>
  <c r="Z50" i="1"/>
  <c r="AA50" i="1"/>
  <c r="W51" i="1"/>
  <c r="X51" i="1"/>
  <c r="Y51" i="1"/>
  <c r="Z51" i="1"/>
  <c r="AA51" i="1"/>
  <c r="W52" i="1"/>
  <c r="X52" i="1"/>
  <c r="Y52" i="1"/>
  <c r="Z52" i="1"/>
  <c r="AA52" i="1"/>
  <c r="W53" i="1"/>
  <c r="X53" i="1"/>
  <c r="Y53" i="1"/>
  <c r="Z53" i="1"/>
  <c r="AA53" i="1"/>
  <c r="W54" i="1"/>
  <c r="X54" i="1"/>
  <c r="Y54" i="1"/>
  <c r="Z54" i="1"/>
  <c r="AA54" i="1"/>
  <c r="W55" i="1"/>
  <c r="X55" i="1"/>
  <c r="Y55" i="1"/>
  <c r="Z55" i="1"/>
  <c r="AA55" i="1"/>
  <c r="W56" i="1"/>
  <c r="X56" i="1"/>
  <c r="Y56" i="1"/>
  <c r="Z56" i="1"/>
  <c r="AA56" i="1"/>
  <c r="W57" i="1"/>
  <c r="X57" i="1"/>
  <c r="Y57" i="1"/>
  <c r="Z57" i="1"/>
  <c r="AA57" i="1"/>
  <c r="W58" i="1"/>
  <c r="X58" i="1"/>
  <c r="Y58" i="1"/>
  <c r="Z58" i="1"/>
  <c r="AA58" i="1"/>
  <c r="W59" i="1"/>
  <c r="X59" i="1"/>
  <c r="Y59" i="1"/>
  <c r="Z59" i="1"/>
  <c r="AA59" i="1"/>
  <c r="W60" i="1"/>
  <c r="X60" i="1"/>
  <c r="Y60" i="1"/>
  <c r="Z60" i="1"/>
  <c r="AA60" i="1"/>
  <c r="W61" i="1"/>
  <c r="X61" i="1"/>
  <c r="Y61" i="1"/>
  <c r="Z61" i="1"/>
  <c r="AA61" i="1"/>
  <c r="W62" i="1"/>
  <c r="X62" i="1"/>
  <c r="Y62" i="1"/>
  <c r="Z62" i="1"/>
  <c r="AA62" i="1"/>
  <c r="W63" i="1"/>
  <c r="X63" i="1"/>
  <c r="Y63" i="1"/>
  <c r="Z63" i="1"/>
  <c r="AA63" i="1"/>
  <c r="W64" i="1"/>
  <c r="X64" i="1"/>
  <c r="Y64" i="1"/>
  <c r="Z64" i="1"/>
  <c r="AA64" i="1"/>
  <c r="W65" i="1"/>
  <c r="X65" i="1"/>
  <c r="Y65" i="1"/>
  <c r="Z65" i="1"/>
  <c r="AA65" i="1"/>
  <c r="W66" i="1"/>
  <c r="X66" i="1"/>
  <c r="Y66" i="1"/>
  <c r="Z66" i="1"/>
  <c r="AA66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4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29" i="1"/>
  <c r="W26" i="1"/>
  <c r="X26" i="1"/>
  <c r="Y26" i="1"/>
  <c r="Z26" i="1"/>
  <c r="AA26" i="1"/>
  <c r="V26" i="1"/>
  <c r="W25" i="1"/>
  <c r="X25" i="1"/>
  <c r="Y25" i="1"/>
  <c r="Z25" i="1"/>
  <c r="AA25" i="1"/>
  <c r="V25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T49" i="1"/>
  <c r="S4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29" i="1"/>
  <c r="T26" i="1"/>
  <c r="S26" i="1"/>
  <c r="T25" i="1"/>
  <c r="S25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P49" i="1"/>
  <c r="Q49" i="1"/>
  <c r="O4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29" i="1"/>
  <c r="P26" i="1"/>
  <c r="Q26" i="1"/>
  <c r="O26" i="1"/>
  <c r="P25" i="1"/>
  <c r="Q25" i="1"/>
  <c r="O25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4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29" i="1"/>
  <c r="L26" i="1"/>
  <c r="L25" i="1"/>
  <c r="G49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4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29" i="1"/>
  <c r="J26" i="1"/>
  <c r="I26" i="1"/>
  <c r="H26" i="1"/>
  <c r="J25" i="1"/>
  <c r="I25" i="1"/>
  <c r="H25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49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D66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4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9" i="1"/>
  <c r="D44" i="1"/>
  <c r="D45" i="1"/>
  <c r="D46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9" i="1"/>
  <c r="E26" i="1"/>
  <c r="F26" i="1"/>
  <c r="D26" i="1"/>
  <c r="E25" i="1"/>
  <c r="F25" i="1"/>
  <c r="D25" i="1"/>
</calcChain>
</file>

<file path=xl/sharedStrings.xml><?xml version="1.0" encoding="utf-8"?>
<sst xmlns="http://schemas.openxmlformats.org/spreadsheetml/2006/main" count="106" uniqueCount="77">
  <si>
    <t>Air Pollutant Emissions</t>
  </si>
  <si>
    <t>E1</t>
  </si>
  <si>
    <t>MIN</t>
  </si>
  <si>
    <t>J11</t>
  </si>
  <si>
    <t>J12</t>
  </si>
  <si>
    <t>J13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</si>
  <si>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</si>
  <si>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</si>
  <si>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</si>
  <si>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</si>
  <si>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</si>
  <si>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</si>
  <si>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</si>
  <si>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</si>
  <si>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</si>
  <si>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</si>
  <si>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</si>
  <si>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</si>
  <si>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</si>
  <si>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</si>
  <si>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</si>
  <si>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</si>
  <si>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</si>
  <si>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</si>
  <si>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min</t>
  </si>
  <si>
    <t>max</t>
  </si>
  <si>
    <t>Atmospheric Impact</t>
  </si>
  <si>
    <t>E2</t>
  </si>
  <si>
    <t>J21</t>
  </si>
  <si>
    <t>J22</t>
  </si>
  <si>
    <t>J23</t>
  </si>
  <si>
    <t>Climate Change</t>
  </si>
  <si>
    <t>E3</t>
  </si>
  <si>
    <t>J31</t>
  </si>
  <si>
    <t>Environmental - Economic Trade-Off Metrics</t>
  </si>
  <si>
    <t>E4</t>
  </si>
  <si>
    <r>
      <t>Packaging</t>
    </r>
    <r>
      <rPr>
        <sz val="11"/>
        <color rgb="FF202124"/>
        <rFont val="Roboto"/>
      </rPr>
      <t> </t>
    </r>
  </si>
  <si>
    <t>E5</t>
  </si>
  <si>
    <t>MAX</t>
  </si>
  <si>
    <t>J51</t>
  </si>
  <si>
    <t>J52</t>
  </si>
  <si>
    <t>J53</t>
  </si>
  <si>
    <t>Material Sustainability</t>
  </si>
  <si>
    <t>E6</t>
  </si>
  <si>
    <t>J61</t>
  </si>
  <si>
    <t>J62</t>
  </si>
  <si>
    <t>Resource Use, Scarcity &amp; Depletion</t>
  </si>
  <si>
    <t>E7</t>
  </si>
  <si>
    <t>J71</t>
  </si>
  <si>
    <t>J72</t>
  </si>
  <si>
    <t>J73</t>
  </si>
  <si>
    <t>J74</t>
  </si>
  <si>
    <t>J75</t>
  </si>
  <si>
    <t>J76</t>
  </si>
  <si>
    <t>Toxicity &amp; Eutrophication</t>
  </si>
  <si>
    <t>E8</t>
  </si>
  <si>
    <t>J81</t>
  </si>
  <si>
    <t>J82</t>
  </si>
  <si>
    <t>J83</t>
  </si>
  <si>
    <t>J84</t>
  </si>
  <si>
    <t>J85</t>
  </si>
  <si>
    <t>J86</t>
  </si>
  <si>
    <t>J87</t>
  </si>
  <si>
    <t>Water Management</t>
  </si>
  <si>
    <t>E9</t>
  </si>
  <si>
    <t>J91</t>
  </si>
  <si>
    <t>J92</t>
  </si>
  <si>
    <t>J93</t>
  </si>
  <si>
    <t>J94</t>
  </si>
  <si>
    <t>J95</t>
  </si>
  <si>
    <t>J96</t>
  </si>
  <si>
    <t>W2</t>
  </si>
  <si>
    <t>W1</t>
  </si>
  <si>
    <t>W3</t>
  </si>
  <si>
    <t>W7</t>
  </si>
  <si>
    <t>W8</t>
  </si>
  <si>
    <t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</si>
</sst>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rgb="FF202124"/>
      <name val="Roboto"/>
    </font>
    <font>
      <sz val="11"/>
      <color rgb="FF202124"/>
      <name val="Roboto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1" fontId="0" fillId="2" borderId="0" xfId="0" applyNumberFormat="1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4"/>
  <sheetViews>
    <sheetView tabSelected="1" topLeftCell="A37" zoomScale="80" zoomScaleNormal="80" workbookViewId="0">
      <selection activeCell="C49" sqref="C49"/>
    </sheetView>
  </sheetViews>
  <sheetFormatPr defaultRowHeight="15" x14ac:dyDescent="0.25"/>
  <cols>
    <col min="3" max="3" width="24" bestFit="1" customWidth="1"/>
    <col min="4" max="4" width="13" bestFit="1" customWidth="1"/>
    <col min="7" max="7" width="20.85546875" bestFit="1" customWidth="1"/>
    <col min="11" max="11" width="16.5703125" bestFit="1" customWidth="1"/>
    <col min="13" max="13" width="45.140625" bestFit="1" customWidth="1"/>
    <col min="14" max="14" width="11.85546875" bestFit="1" customWidth="1"/>
    <col min="18" max="18" width="23.140625" bestFit="1" customWidth="1"/>
    <col min="21" max="21" width="36" bestFit="1" customWidth="1"/>
    <col min="22" max="22" width="12" bestFit="1" customWidth="1"/>
    <col min="28" max="28" width="25.85546875" bestFit="1" customWidth="1"/>
    <col min="36" max="36" width="20.140625" bestFit="1" customWidth="1"/>
    <col min="41" max="41" width="10.28515625" bestFit="1" customWidth="1"/>
  </cols>
  <sheetData>
    <row r="1" spans="1:42" x14ac:dyDescent="0.25">
      <c r="C1" s="1" t="s">
        <v>0</v>
      </c>
      <c r="G1" s="1" t="s">
        <v>26</v>
      </c>
      <c r="K1" s="1" t="s">
        <v>31</v>
      </c>
      <c r="M1" s="4" t="s">
        <v>34</v>
      </c>
      <c r="N1" s="1" t="s">
        <v>36</v>
      </c>
      <c r="R1" s="1" t="s">
        <v>42</v>
      </c>
      <c r="U1" s="1" t="s">
        <v>46</v>
      </c>
      <c r="AB1" s="1" t="s">
        <v>54</v>
      </c>
      <c r="AJ1" s="1" t="s">
        <v>63</v>
      </c>
    </row>
    <row r="2" spans="1:42" x14ac:dyDescent="0.25">
      <c r="C2" s="2" t="s">
        <v>1</v>
      </c>
      <c r="G2" s="2" t="s">
        <v>27</v>
      </c>
      <c r="K2" s="2" t="s">
        <v>32</v>
      </c>
      <c r="M2" s="5" t="s">
        <v>35</v>
      </c>
      <c r="N2" s="2" t="s">
        <v>37</v>
      </c>
      <c r="R2" s="2" t="s">
        <v>43</v>
      </c>
      <c r="U2" s="2" t="s">
        <v>47</v>
      </c>
      <c r="AB2" s="2" t="s">
        <v>55</v>
      </c>
      <c r="AJ2" s="2" t="s">
        <v>64</v>
      </c>
    </row>
    <row r="3" spans="1:42" x14ac:dyDescent="0.25">
      <c r="D3" t="s">
        <v>2</v>
      </c>
      <c r="E3" t="s">
        <v>2</v>
      </c>
      <c r="F3" t="s">
        <v>2</v>
      </c>
      <c r="H3" t="s">
        <v>2</v>
      </c>
      <c r="I3" t="s">
        <v>2</v>
      </c>
      <c r="J3" t="s">
        <v>2</v>
      </c>
      <c r="L3" t="s">
        <v>2</v>
      </c>
      <c r="O3" t="s">
        <v>2</v>
      </c>
      <c r="P3" t="s">
        <v>2</v>
      </c>
      <c r="Q3" t="s">
        <v>38</v>
      </c>
      <c r="S3" t="s">
        <v>38</v>
      </c>
      <c r="T3" t="s">
        <v>2</v>
      </c>
      <c r="V3" t="s">
        <v>2</v>
      </c>
      <c r="W3" t="s">
        <v>2</v>
      </c>
      <c r="X3" t="s">
        <v>2</v>
      </c>
      <c r="Y3" t="s">
        <v>38</v>
      </c>
      <c r="Z3" t="s">
        <v>2</v>
      </c>
      <c r="AA3" t="s">
        <v>2</v>
      </c>
      <c r="AC3" t="s">
        <v>2</v>
      </c>
      <c r="AD3" t="s">
        <v>2</v>
      </c>
      <c r="AE3" s="6" t="s">
        <v>2</v>
      </c>
      <c r="AF3" s="6" t="s">
        <v>2</v>
      </c>
      <c r="AG3" s="6" t="s">
        <v>2</v>
      </c>
      <c r="AH3" s="6" t="s">
        <v>2</v>
      </c>
      <c r="AI3" s="6" t="s">
        <v>2</v>
      </c>
      <c r="AK3" t="s">
        <v>2</v>
      </c>
      <c r="AL3" t="s">
        <v>2</v>
      </c>
      <c r="AM3" t="s">
        <v>2</v>
      </c>
      <c r="AN3" t="s">
        <v>38</v>
      </c>
      <c r="AO3" t="s">
        <v>38</v>
      </c>
      <c r="AP3" t="s">
        <v>2</v>
      </c>
    </row>
    <row r="4" spans="1:42" x14ac:dyDescent="0.25">
      <c r="D4" t="s">
        <v>3</v>
      </c>
      <c r="E4" t="s">
        <v>4</v>
      </c>
      <c r="F4" t="s">
        <v>5</v>
      </c>
      <c r="H4" t="s">
        <v>28</v>
      </c>
      <c r="I4" t="s">
        <v>29</v>
      </c>
      <c r="J4" t="s">
        <v>30</v>
      </c>
      <c r="L4" t="s">
        <v>33</v>
      </c>
      <c r="O4" t="s">
        <v>39</v>
      </c>
      <c r="P4" t="s">
        <v>40</v>
      </c>
      <c r="Q4" t="s">
        <v>41</v>
      </c>
      <c r="S4" t="s">
        <v>44</v>
      </c>
      <c r="T4" t="s">
        <v>45</v>
      </c>
      <c r="V4" t="s">
        <v>48</v>
      </c>
      <c r="W4" t="s">
        <v>49</v>
      </c>
      <c r="X4" t="s">
        <v>50</v>
      </c>
      <c r="Y4" t="s">
        <v>51</v>
      </c>
      <c r="Z4" t="s">
        <v>52</v>
      </c>
      <c r="AA4" t="s">
        <v>53</v>
      </c>
      <c r="AC4" t="s">
        <v>56</v>
      </c>
      <c r="AD4" t="s">
        <v>57</v>
      </c>
      <c r="AE4" t="s">
        <v>58</v>
      </c>
      <c r="AF4" t="s">
        <v>59</v>
      </c>
      <c r="AG4" t="s">
        <v>60</v>
      </c>
      <c r="AH4" t="s">
        <v>61</v>
      </c>
      <c r="AI4" t="s">
        <v>62</v>
      </c>
      <c r="AK4" t="s">
        <v>65</v>
      </c>
      <c r="AL4" t="s">
        <v>66</v>
      </c>
      <c r="AM4" t="s">
        <v>67</v>
      </c>
      <c r="AN4" t="s">
        <v>68</v>
      </c>
      <c r="AO4" t="s">
        <v>69</v>
      </c>
      <c r="AP4" t="s">
        <v>70</v>
      </c>
    </row>
    <row r="5" spans="1:42" x14ac:dyDescent="0.25">
      <c r="A5" t="s">
        <v>6</v>
      </c>
      <c r="D5">
        <v>1.0985978103479998E-4</v>
      </c>
      <c r="E5">
        <v>2.7319279720127996E-9</v>
      </c>
      <c r="F5">
        <v>4.6549254731999994E-4</v>
      </c>
      <c r="H5">
        <v>1.28257179262416E-8</v>
      </c>
      <c r="I5">
        <v>2.4248090867999997E-4</v>
      </c>
      <c r="J5">
        <v>8.8496681999999992E-4</v>
      </c>
      <c r="L5">
        <v>0.14036989712112</v>
      </c>
      <c r="O5">
        <v>6.6666666666666666E-2</v>
      </c>
      <c r="P5">
        <v>0</v>
      </c>
      <c r="Q5">
        <v>0.9375</v>
      </c>
      <c r="S5">
        <v>1</v>
      </c>
      <c r="T5">
        <v>5</v>
      </c>
      <c r="V5">
        <v>1.7218427730675597E-7</v>
      </c>
      <c r="W5">
        <v>2.0349989019264001</v>
      </c>
      <c r="X5">
        <v>1.1193333333333333</v>
      </c>
      <c r="Y5">
        <v>0.19115283312</v>
      </c>
      <c r="Z5">
        <v>2.2261517350464</v>
      </c>
      <c r="AA5">
        <v>7.9643473932719991E-2</v>
      </c>
      <c r="AC5">
        <v>0</v>
      </c>
      <c r="AD5">
        <v>0.58763743775003996</v>
      </c>
      <c r="AE5">
        <v>4.8601138800852E-11</v>
      </c>
      <c r="AF5">
        <v>1.8659348406335997E-9</v>
      </c>
      <c r="AG5">
        <v>3.0973838699999997E-4</v>
      </c>
      <c r="AH5">
        <v>1.2920515571999999E-4</v>
      </c>
      <c r="AI5">
        <v>7.3275252695999987E-4</v>
      </c>
      <c r="AK5">
        <v>0</v>
      </c>
      <c r="AL5">
        <v>0</v>
      </c>
      <c r="AM5">
        <v>0</v>
      </c>
      <c r="AN5">
        <v>0</v>
      </c>
      <c r="AO5">
        <v>0</v>
      </c>
      <c r="AP5">
        <v>4.3625324358719998E-2</v>
      </c>
    </row>
    <row r="6" spans="1:42" x14ac:dyDescent="0.25">
      <c r="A6" t="s">
        <v>7</v>
      </c>
      <c r="D6">
        <v>9.8873802931319984E-5</v>
      </c>
      <c r="E6">
        <v>2.4587351748115197E-9</v>
      </c>
      <c r="F6">
        <v>4.1894329258799996E-4</v>
      </c>
      <c r="H6">
        <v>1.154314613361744E-8</v>
      </c>
      <c r="I6">
        <v>2.1823281781199998E-4</v>
      </c>
      <c r="J6">
        <v>7.9647013799999996E-4</v>
      </c>
      <c r="L6">
        <v>0.12633290740900799</v>
      </c>
      <c r="O6">
        <v>6.6666666666666666E-2</v>
      </c>
      <c r="P6">
        <v>0</v>
      </c>
      <c r="Q6">
        <v>0.9375</v>
      </c>
      <c r="S6">
        <v>1</v>
      </c>
      <c r="T6">
        <v>5</v>
      </c>
      <c r="V6">
        <v>1.5496584957608039E-7</v>
      </c>
      <c r="W6">
        <v>1.83149901173376</v>
      </c>
      <c r="X6">
        <v>1.1193333333333333</v>
      </c>
      <c r="Y6">
        <v>0.19115283312</v>
      </c>
      <c r="Z6">
        <v>2.02265184485376</v>
      </c>
      <c r="AA6">
        <v>7.1679126539447996E-2</v>
      </c>
      <c r="AC6">
        <v>0</v>
      </c>
      <c r="AD6">
        <v>0.52887369397503603</v>
      </c>
      <c r="AE6">
        <v>4.3741024920766798E-11</v>
      </c>
      <c r="AF6">
        <v>1.6793413565702399E-9</v>
      </c>
      <c r="AG6">
        <v>2.787645483E-4</v>
      </c>
      <c r="AH6">
        <v>1.16284640148E-4</v>
      </c>
      <c r="AI6">
        <v>6.5947727426399997E-4</v>
      </c>
      <c r="AK6">
        <v>0</v>
      </c>
      <c r="AL6">
        <v>0</v>
      </c>
      <c r="AM6">
        <v>0</v>
      </c>
      <c r="AN6">
        <v>0</v>
      </c>
      <c r="AO6">
        <v>0</v>
      </c>
      <c r="AP6">
        <v>3.9262791922847998E-2</v>
      </c>
    </row>
    <row r="7" spans="1:42" x14ac:dyDescent="0.25">
      <c r="A7" t="s">
        <v>8</v>
      </c>
      <c r="D7">
        <v>1.0985978103479998E-4</v>
      </c>
      <c r="E7">
        <v>2.7319279720127996E-9</v>
      </c>
      <c r="F7">
        <v>4.6549254731999994E-4</v>
      </c>
      <c r="H7">
        <v>1.28257179262416E-8</v>
      </c>
      <c r="I7">
        <v>2.4248090867999997E-4</v>
      </c>
      <c r="J7">
        <v>8.8496681999999992E-4</v>
      </c>
      <c r="L7">
        <v>0.14036989712112</v>
      </c>
      <c r="O7">
        <v>6.6666666666666666E-2</v>
      </c>
      <c r="P7">
        <v>0</v>
      </c>
      <c r="Q7">
        <v>0.9375</v>
      </c>
      <c r="S7">
        <v>1</v>
      </c>
      <c r="T7">
        <v>5</v>
      </c>
      <c r="V7">
        <v>1.7218427730675597E-7</v>
      </c>
      <c r="W7">
        <v>2.0349989019264001</v>
      </c>
      <c r="X7">
        <v>1.1193333333333333</v>
      </c>
      <c r="Y7">
        <v>0.19115283312</v>
      </c>
      <c r="Z7">
        <v>2.2261517350464</v>
      </c>
      <c r="AA7">
        <v>7.9643473932719991E-2</v>
      </c>
      <c r="AC7">
        <v>0</v>
      </c>
      <c r="AD7">
        <v>0.58763743775003996</v>
      </c>
      <c r="AE7">
        <v>4.8601138800852E-11</v>
      </c>
      <c r="AF7">
        <v>1.8659348406335997E-9</v>
      </c>
      <c r="AG7">
        <v>3.0973838699999997E-4</v>
      </c>
      <c r="AH7">
        <v>1.2920515571999999E-4</v>
      </c>
      <c r="AI7">
        <v>7.3275252695999987E-4</v>
      </c>
      <c r="AK7">
        <v>0</v>
      </c>
      <c r="AL7">
        <v>0</v>
      </c>
      <c r="AM7">
        <v>0</v>
      </c>
      <c r="AN7">
        <v>0</v>
      </c>
      <c r="AO7">
        <v>0</v>
      </c>
      <c r="AP7">
        <v>4.3625324358719998E-2</v>
      </c>
    </row>
    <row r="8" spans="1:42" x14ac:dyDescent="0.25">
      <c r="A8" t="s">
        <v>9</v>
      </c>
      <c r="D8">
        <v>9.8873802931319984E-5</v>
      </c>
      <c r="E8">
        <v>2.4587351748115197E-9</v>
      </c>
      <c r="F8">
        <v>4.1894329258799996E-4</v>
      </c>
      <c r="H8">
        <v>1.154314613361744E-8</v>
      </c>
      <c r="I8">
        <v>2.1823281781199998E-4</v>
      </c>
      <c r="J8">
        <v>7.9647013799999996E-4</v>
      </c>
      <c r="L8">
        <v>0.12633290740900799</v>
      </c>
      <c r="O8">
        <v>6.6666666666666666E-2</v>
      </c>
      <c r="P8">
        <v>0</v>
      </c>
      <c r="Q8">
        <v>0.9375</v>
      </c>
      <c r="S8">
        <v>1</v>
      </c>
      <c r="T8">
        <v>5</v>
      </c>
      <c r="V8">
        <v>1.5496584957608039E-7</v>
      </c>
      <c r="W8">
        <v>1.83149901173376</v>
      </c>
      <c r="X8">
        <v>1.1193333333333333</v>
      </c>
      <c r="Y8">
        <v>0.19115283312</v>
      </c>
      <c r="Z8">
        <v>2.02265184485376</v>
      </c>
      <c r="AA8">
        <v>7.1679126539447996E-2</v>
      </c>
      <c r="AC8">
        <v>0</v>
      </c>
      <c r="AD8">
        <v>0.52887369397503603</v>
      </c>
      <c r="AE8">
        <v>4.3741024920766798E-11</v>
      </c>
      <c r="AF8">
        <v>1.6793413565702399E-9</v>
      </c>
      <c r="AG8">
        <v>2.787645483E-4</v>
      </c>
      <c r="AH8">
        <v>1.16284640148E-4</v>
      </c>
      <c r="AI8">
        <v>6.5947727426399997E-4</v>
      </c>
      <c r="AK8">
        <v>0</v>
      </c>
      <c r="AL8">
        <v>0</v>
      </c>
      <c r="AM8">
        <v>0</v>
      </c>
      <c r="AN8">
        <v>0</v>
      </c>
      <c r="AO8">
        <v>0</v>
      </c>
      <c r="AP8">
        <v>3.9262791922847998E-2</v>
      </c>
    </row>
    <row r="9" spans="1:42" x14ac:dyDescent="0.25">
      <c r="A9" t="s">
        <v>10</v>
      </c>
      <c r="D9">
        <v>1.159503120592E-4</v>
      </c>
      <c r="E9">
        <v>2.8833836905045336E-9</v>
      </c>
      <c r="F9">
        <v>4.9129905061333335E-4</v>
      </c>
      <c r="H9">
        <v>1.3536764609606401E-8</v>
      </c>
      <c r="I9">
        <v>2.5592384005333334E-4</v>
      </c>
      <c r="J9">
        <v>9.3402861333333339E-4</v>
      </c>
      <c r="L9">
        <v>0.14815188253248002</v>
      </c>
      <c r="O9">
        <v>6.6666666666666666E-2</v>
      </c>
      <c r="P9">
        <v>0</v>
      </c>
      <c r="Q9">
        <v>0.9375</v>
      </c>
      <c r="S9">
        <v>1</v>
      </c>
      <c r="T9">
        <v>5</v>
      </c>
      <c r="V9">
        <v>1.8173002437609068E-7</v>
      </c>
      <c r="W9">
        <v>2.1478174769322669</v>
      </c>
      <c r="X9">
        <v>1.0666666666666667</v>
      </c>
      <c r="Y9">
        <v>0.20175018048000001</v>
      </c>
      <c r="Z9">
        <v>2.3495676574122668</v>
      </c>
      <c r="AA9">
        <v>8.4058839085546663E-2</v>
      </c>
      <c r="AC9">
        <v>0</v>
      </c>
      <c r="AD9">
        <v>0.62021554788282673</v>
      </c>
      <c r="AE9">
        <v>5.1295543804208003E-11</v>
      </c>
      <c r="AF9">
        <v>1.9693806506410665E-9</v>
      </c>
      <c r="AG9">
        <v>3.2691001466666667E-4</v>
      </c>
      <c r="AH9">
        <v>1.3636817754666665E-4</v>
      </c>
      <c r="AI9">
        <v>7.7337569183999998E-4</v>
      </c>
      <c r="AK9">
        <v>0</v>
      </c>
      <c r="AL9">
        <v>0</v>
      </c>
      <c r="AM9">
        <v>0</v>
      </c>
      <c r="AN9">
        <v>0</v>
      </c>
      <c r="AO9">
        <v>0</v>
      </c>
      <c r="AP9">
        <v>4.6043874522880002E-2</v>
      </c>
    </row>
    <row r="10" spans="1:42" x14ac:dyDescent="0.25">
      <c r="A10" t="s">
        <v>11</v>
      </c>
      <c r="D10">
        <v>1.0435528085328E-4</v>
      </c>
      <c r="E10">
        <v>2.5950453214540804E-9</v>
      </c>
      <c r="F10">
        <v>4.4216914555200005E-4</v>
      </c>
      <c r="H10">
        <v>1.2183088148645761E-8</v>
      </c>
      <c r="I10">
        <v>2.30331456048E-4</v>
      </c>
      <c r="J10">
        <v>8.4062575200000004E-4</v>
      </c>
      <c r="L10">
        <v>0.133336694279232</v>
      </c>
      <c r="O10">
        <v>6.6666666666666666E-2</v>
      </c>
      <c r="P10">
        <v>0</v>
      </c>
      <c r="Q10">
        <v>0.9375</v>
      </c>
      <c r="S10">
        <v>1</v>
      </c>
      <c r="T10">
        <v>5</v>
      </c>
      <c r="V10">
        <v>1.635570219384816E-7</v>
      </c>
      <c r="W10">
        <v>1.9330357292390401</v>
      </c>
      <c r="X10">
        <v>1.0666666666666667</v>
      </c>
      <c r="Y10">
        <v>0.20175018048000001</v>
      </c>
      <c r="Z10">
        <v>2.13478590971904</v>
      </c>
      <c r="AA10">
        <v>7.5652955176991998E-2</v>
      </c>
      <c r="AC10">
        <v>0</v>
      </c>
      <c r="AD10">
        <v>0.55819399309454409</v>
      </c>
      <c r="AE10">
        <v>4.6165989423787199E-11</v>
      </c>
      <c r="AF10">
        <v>1.7724425855769599E-9</v>
      </c>
      <c r="AG10">
        <v>2.9421901320000004E-4</v>
      </c>
      <c r="AH10">
        <v>1.2273135979199999E-4</v>
      </c>
      <c r="AI10">
        <v>6.96038122656E-4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4.1439487070592002E-2</v>
      </c>
    </row>
    <row r="11" spans="1:42" x14ac:dyDescent="0.25">
      <c r="A11" t="s">
        <v>12</v>
      </c>
      <c r="D11">
        <v>1.159503120592E-4</v>
      </c>
      <c r="E11">
        <v>2.8833836905045336E-9</v>
      </c>
      <c r="F11">
        <v>4.9129905061333335E-4</v>
      </c>
      <c r="H11">
        <v>1.3536764609606401E-8</v>
      </c>
      <c r="I11">
        <v>2.5592384005333334E-4</v>
      </c>
      <c r="J11">
        <v>9.3402861333333339E-4</v>
      </c>
      <c r="L11">
        <v>0.14815188253248002</v>
      </c>
      <c r="O11">
        <v>6.6666666666666666E-2</v>
      </c>
      <c r="P11">
        <v>0</v>
      </c>
      <c r="Q11">
        <v>0.9375</v>
      </c>
      <c r="S11">
        <v>1</v>
      </c>
      <c r="T11">
        <v>5</v>
      </c>
      <c r="V11">
        <v>1.8173002437609068E-7</v>
      </c>
      <c r="W11">
        <v>2.1478174769322669</v>
      </c>
      <c r="X11">
        <v>1.0666666666666667</v>
      </c>
      <c r="Y11">
        <v>0.20175018048000001</v>
      </c>
      <c r="Z11">
        <v>2.3495676574122668</v>
      </c>
      <c r="AA11">
        <v>8.4058839085546663E-2</v>
      </c>
      <c r="AC11">
        <v>0</v>
      </c>
      <c r="AD11">
        <v>0.62021554788282673</v>
      </c>
      <c r="AE11">
        <v>5.1295543804208003E-11</v>
      </c>
      <c r="AF11">
        <v>1.9693806506410665E-9</v>
      </c>
      <c r="AG11">
        <v>3.2691001466666667E-4</v>
      </c>
      <c r="AH11">
        <v>1.3636817754666665E-4</v>
      </c>
      <c r="AI11">
        <v>7.7337569183999998E-4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4.6043874522880002E-2</v>
      </c>
    </row>
    <row r="12" spans="1:42" x14ac:dyDescent="0.25">
      <c r="A12" t="s">
        <v>13</v>
      </c>
      <c r="D12">
        <v>1.0435528085328E-4</v>
      </c>
      <c r="E12">
        <v>2.5950453214540804E-9</v>
      </c>
      <c r="F12">
        <v>4.4216914555200005E-4</v>
      </c>
      <c r="H12">
        <v>1.2183088148645761E-8</v>
      </c>
      <c r="I12">
        <v>2.30331456048E-4</v>
      </c>
      <c r="J12">
        <v>8.4062575200000004E-4</v>
      </c>
      <c r="L12">
        <v>0.133336694279232</v>
      </c>
      <c r="O12">
        <v>6.6666666666666666E-2</v>
      </c>
      <c r="P12">
        <v>0</v>
      </c>
      <c r="Q12">
        <v>0.9375</v>
      </c>
      <c r="S12">
        <v>1</v>
      </c>
      <c r="T12">
        <v>5</v>
      </c>
      <c r="V12">
        <v>1.635570219384816E-7</v>
      </c>
      <c r="W12">
        <v>1.9330357292390401</v>
      </c>
      <c r="X12">
        <v>1.0666666666666667</v>
      </c>
      <c r="Y12">
        <v>0.20175018048000001</v>
      </c>
      <c r="Z12">
        <v>2.13478590971904</v>
      </c>
      <c r="AA12">
        <v>7.5652955176991998E-2</v>
      </c>
      <c r="AC12">
        <v>0</v>
      </c>
      <c r="AD12">
        <v>0.55819399309454409</v>
      </c>
      <c r="AE12">
        <v>4.6165989423787199E-11</v>
      </c>
      <c r="AF12">
        <v>1.7724425855769599E-9</v>
      </c>
      <c r="AG12">
        <v>2.9421901320000004E-4</v>
      </c>
      <c r="AH12">
        <v>1.2273135979199999E-4</v>
      </c>
      <c r="AI12">
        <v>6.96038122656E-4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4.1439487070592002E-2</v>
      </c>
    </row>
    <row r="13" spans="1:42" x14ac:dyDescent="0.25">
      <c r="A13" t="s">
        <v>14</v>
      </c>
      <c r="D13">
        <v>1.159503120592E-4</v>
      </c>
      <c r="E13">
        <v>2.8833836905045336E-9</v>
      </c>
      <c r="F13">
        <v>4.9129905061333335E-4</v>
      </c>
      <c r="H13">
        <v>1.3536764609606401E-8</v>
      </c>
      <c r="I13">
        <v>2.5592384005333334E-4</v>
      </c>
      <c r="J13">
        <v>9.3402861333333339E-4</v>
      </c>
      <c r="L13">
        <v>0.14815188253248002</v>
      </c>
      <c r="O13">
        <v>6.6666666666666666E-2</v>
      </c>
      <c r="P13">
        <v>0</v>
      </c>
      <c r="Q13">
        <v>0.9375</v>
      </c>
      <c r="S13">
        <v>1</v>
      </c>
      <c r="T13">
        <v>5</v>
      </c>
      <c r="V13">
        <v>1.8173002437609068E-7</v>
      </c>
      <c r="W13">
        <v>2.1478174769322669</v>
      </c>
      <c r="X13">
        <v>1.1193333333333333</v>
      </c>
      <c r="Y13">
        <v>0.20175018048000001</v>
      </c>
      <c r="Z13">
        <v>2.3495676574122668</v>
      </c>
      <c r="AA13">
        <v>8.4058839085546663E-2</v>
      </c>
      <c r="AC13">
        <v>0</v>
      </c>
      <c r="AD13">
        <v>0.62021554788282673</v>
      </c>
      <c r="AE13">
        <v>5.1295543804208003E-11</v>
      </c>
      <c r="AF13">
        <v>1.9693806506410665E-9</v>
      </c>
      <c r="AG13">
        <v>3.2691001466666667E-4</v>
      </c>
      <c r="AH13">
        <v>1.3636817754666665E-4</v>
      </c>
      <c r="AI13">
        <v>7.7337569183999998E-4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4.6043874522880002E-2</v>
      </c>
    </row>
    <row r="14" spans="1:42" x14ac:dyDescent="0.25">
      <c r="A14" t="s">
        <v>15</v>
      </c>
      <c r="D14">
        <v>1.7364889739385596E-8</v>
      </c>
      <c r="E14">
        <v>8.3253784571591987E-10</v>
      </c>
      <c r="F14">
        <v>7.4050926113730004E-8</v>
      </c>
      <c r="H14">
        <v>1.3371990244891198E-9</v>
      </c>
      <c r="I14">
        <v>4.9558141919999992E-5</v>
      </c>
      <c r="J14">
        <v>9.5576416559999989E-5</v>
      </c>
      <c r="L14">
        <v>1.1428461513479999E-2</v>
      </c>
      <c r="O14">
        <v>6.6666666666666666E-2</v>
      </c>
      <c r="P14">
        <v>0</v>
      </c>
      <c r="Q14">
        <v>0.9375</v>
      </c>
      <c r="S14">
        <v>1</v>
      </c>
      <c r="T14">
        <v>5</v>
      </c>
      <c r="V14">
        <v>1.2334207354413599E-6</v>
      </c>
      <c r="W14">
        <v>0.14681422550435999</v>
      </c>
      <c r="X14">
        <v>1.1193333333333333</v>
      </c>
      <c r="Y14">
        <v>0.6371761104</v>
      </c>
      <c r="Z14">
        <v>0.78399033590435996</v>
      </c>
      <c r="AA14">
        <v>5.1213029873399998E-2</v>
      </c>
      <c r="AC14">
        <v>0</v>
      </c>
      <c r="AD14">
        <v>0.11136422462879998</v>
      </c>
      <c r="AE14">
        <v>1.61560781612748E-11</v>
      </c>
      <c r="AF14">
        <v>7.3269588908351992E-10</v>
      </c>
      <c r="AG14">
        <v>7.5787142517887995E-6</v>
      </c>
      <c r="AH14">
        <v>1.3165120401047998E-5</v>
      </c>
      <c r="AI14">
        <v>1.4336462483999999E-4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1.2285109395239999E-2</v>
      </c>
    </row>
    <row r="15" spans="1:42" x14ac:dyDescent="0.25">
      <c r="A15" t="s">
        <v>16</v>
      </c>
      <c r="D15">
        <v>1.5628400765447036E-8</v>
      </c>
      <c r="E15">
        <v>7.4928406114432788E-10</v>
      </c>
      <c r="F15">
        <v>6.6645833502357006E-8</v>
      </c>
      <c r="H15">
        <v>1.203479122040208E-9</v>
      </c>
      <c r="I15">
        <v>4.4602327727999995E-5</v>
      </c>
      <c r="J15">
        <v>8.6018774904000005E-5</v>
      </c>
      <c r="L15">
        <v>1.0285615362132001E-2</v>
      </c>
      <c r="O15">
        <v>6.6666666666666666E-2</v>
      </c>
      <c r="P15">
        <v>0</v>
      </c>
      <c r="Q15">
        <v>0.9375</v>
      </c>
      <c r="S15">
        <v>1</v>
      </c>
      <c r="T15">
        <v>5</v>
      </c>
      <c r="V15">
        <v>1.1100786618972241E-6</v>
      </c>
      <c r="W15">
        <v>0.13213280295392399</v>
      </c>
      <c r="X15">
        <v>1.1193333333333333</v>
      </c>
      <c r="Y15">
        <v>0.6371761104</v>
      </c>
      <c r="Z15">
        <v>0.76930891335392393</v>
      </c>
      <c r="AA15">
        <v>4.6091726886059996E-2</v>
      </c>
      <c r="AC15">
        <v>0</v>
      </c>
      <c r="AD15">
        <v>0.10022780216591999</v>
      </c>
      <c r="AE15">
        <v>1.454047034514732E-11</v>
      </c>
      <c r="AF15">
        <v>6.5942630017516803E-10</v>
      </c>
      <c r="AG15">
        <v>6.8208428266099197E-6</v>
      </c>
      <c r="AH15">
        <v>1.1848608360943199E-5</v>
      </c>
      <c r="AI15">
        <v>1.2902816235599998E-4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1.1056598455716E-2</v>
      </c>
    </row>
    <row r="16" spans="1:42" x14ac:dyDescent="0.25">
      <c r="A16" t="s">
        <v>17</v>
      </c>
      <c r="D16">
        <v>1.7364889739385596E-8</v>
      </c>
      <c r="E16">
        <v>8.3253784571591987E-10</v>
      </c>
      <c r="F16">
        <v>7.4050926113730004E-8</v>
      </c>
      <c r="H16">
        <v>1.3371990244891198E-9</v>
      </c>
      <c r="I16">
        <v>4.9558141919999992E-5</v>
      </c>
      <c r="J16">
        <v>9.5576416559999989E-5</v>
      </c>
      <c r="L16">
        <v>1.1428461513479999E-2</v>
      </c>
      <c r="O16">
        <v>6.6666666666666666E-2</v>
      </c>
      <c r="P16">
        <v>0</v>
      </c>
      <c r="Q16">
        <v>0.9375</v>
      </c>
      <c r="S16">
        <v>1</v>
      </c>
      <c r="T16">
        <v>5</v>
      </c>
      <c r="V16">
        <v>1.2334207354413599E-6</v>
      </c>
      <c r="W16">
        <v>0.14681422550435999</v>
      </c>
      <c r="X16">
        <v>1.1193333333333333</v>
      </c>
      <c r="Y16">
        <v>0.6371761104</v>
      </c>
      <c r="Z16">
        <v>0.78399033590435996</v>
      </c>
      <c r="AA16">
        <v>5.1213029873399998E-2</v>
      </c>
      <c r="AC16">
        <v>0</v>
      </c>
      <c r="AD16">
        <v>0.11136422462879998</v>
      </c>
      <c r="AE16">
        <v>1.61560781612748E-11</v>
      </c>
      <c r="AF16">
        <v>7.3269588908351992E-10</v>
      </c>
      <c r="AG16">
        <v>7.5787142517887995E-6</v>
      </c>
      <c r="AH16">
        <v>1.3165120401047998E-5</v>
      </c>
      <c r="AI16">
        <v>1.4336462483999999E-4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1.2285109395239999E-2</v>
      </c>
    </row>
    <row r="17" spans="1:42" x14ac:dyDescent="0.25">
      <c r="A17" t="s">
        <v>18</v>
      </c>
      <c r="D17">
        <v>1.5628400765447036E-8</v>
      </c>
      <c r="E17">
        <v>7.4928406114432788E-10</v>
      </c>
      <c r="F17">
        <v>6.6645833502357006E-8</v>
      </c>
      <c r="H17">
        <v>1.203479122040208E-9</v>
      </c>
      <c r="I17">
        <v>4.4602327727999995E-5</v>
      </c>
      <c r="J17">
        <v>8.6018774904000005E-5</v>
      </c>
      <c r="L17">
        <v>1.0285615362132001E-2</v>
      </c>
      <c r="O17">
        <v>6.6666666666666666E-2</v>
      </c>
      <c r="P17">
        <v>0</v>
      </c>
      <c r="Q17">
        <v>0.9375</v>
      </c>
      <c r="S17">
        <v>1</v>
      </c>
      <c r="T17">
        <v>5</v>
      </c>
      <c r="V17">
        <v>1.1100786618972241E-6</v>
      </c>
      <c r="W17">
        <v>0.13213280295392399</v>
      </c>
      <c r="X17">
        <v>1.1193333333333333</v>
      </c>
      <c r="Y17">
        <v>0.6371761104</v>
      </c>
      <c r="Z17">
        <v>0.76930891335392393</v>
      </c>
      <c r="AA17">
        <v>4.6091726886059996E-2</v>
      </c>
      <c r="AC17">
        <v>0</v>
      </c>
      <c r="AD17">
        <v>0.10022780216591999</v>
      </c>
      <c r="AE17">
        <v>1.454047034514732E-11</v>
      </c>
      <c r="AF17">
        <v>6.5942630017516803E-10</v>
      </c>
      <c r="AG17">
        <v>6.8208428266099197E-6</v>
      </c>
      <c r="AH17">
        <v>1.1848608360943199E-5</v>
      </c>
      <c r="AI17">
        <v>1.2902816235599998E-4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1.1056598455716E-2</v>
      </c>
    </row>
    <row r="18" spans="1:42" x14ac:dyDescent="0.25">
      <c r="A18" t="s">
        <v>19</v>
      </c>
      <c r="D18">
        <v>1.8327584173115734E-8</v>
      </c>
      <c r="E18">
        <v>8.7869302216501332E-10</v>
      </c>
      <c r="F18">
        <v>7.8156245263586678E-8</v>
      </c>
      <c r="H18">
        <v>1.4113321792044801E-9</v>
      </c>
      <c r="I18">
        <v>5.2305602346666667E-5</v>
      </c>
      <c r="J18">
        <v>1.0087509024E-4</v>
      </c>
      <c r="L18">
        <v>1.2062045512586668E-2</v>
      </c>
      <c r="O18">
        <v>6.6666666666666666E-2</v>
      </c>
      <c r="P18">
        <v>0</v>
      </c>
      <c r="Q18">
        <v>0.9375</v>
      </c>
      <c r="S18">
        <v>1</v>
      </c>
      <c r="T18">
        <v>5</v>
      </c>
      <c r="V18">
        <v>1.3018005117761067E-6</v>
      </c>
      <c r="W18">
        <v>0.15495347889477332</v>
      </c>
      <c r="X18">
        <v>1.0666666666666667</v>
      </c>
      <c r="Y18">
        <v>0.67250060160000003</v>
      </c>
      <c r="Z18">
        <v>0.82745408049477331</v>
      </c>
      <c r="AA18">
        <v>5.40522358536E-2</v>
      </c>
      <c r="AC18">
        <v>0</v>
      </c>
      <c r="AD18">
        <v>0.11753816070186666</v>
      </c>
      <c r="AE18">
        <v>1.70517571290192E-11</v>
      </c>
      <c r="AF18">
        <v>7.7331591400874664E-10</v>
      </c>
      <c r="AG18">
        <v>7.9988716000085339E-6</v>
      </c>
      <c r="AH18">
        <v>1.3894983263392E-5</v>
      </c>
      <c r="AI18">
        <v>1.5131263536000001E-4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1.2966185210293333E-2</v>
      </c>
    </row>
    <row r="19" spans="1:42" x14ac:dyDescent="0.25">
      <c r="A19" t="s">
        <v>20</v>
      </c>
      <c r="D19">
        <v>1.6494825755804161E-8</v>
      </c>
      <c r="E19">
        <v>7.9082371994851203E-10</v>
      </c>
      <c r="F19">
        <v>7.0340620737228009E-8</v>
      </c>
      <c r="H19">
        <v>1.270198961284032E-9</v>
      </c>
      <c r="I19">
        <v>4.7075042111999996E-5</v>
      </c>
      <c r="J19">
        <v>9.0787581216000008E-5</v>
      </c>
      <c r="L19">
        <v>1.0855840961328E-2</v>
      </c>
      <c r="O19">
        <v>6.6666666666666666E-2</v>
      </c>
      <c r="P19">
        <v>0</v>
      </c>
      <c r="Q19">
        <v>0.9375</v>
      </c>
      <c r="S19">
        <v>1</v>
      </c>
      <c r="T19">
        <v>5</v>
      </c>
      <c r="V19">
        <v>1.1716204605984961E-6</v>
      </c>
      <c r="W19">
        <v>0.139458131005296</v>
      </c>
      <c r="X19">
        <v>1.0666666666666667</v>
      </c>
      <c r="Y19">
        <v>0.67250060160000003</v>
      </c>
      <c r="Z19">
        <v>0.81195873260529605</v>
      </c>
      <c r="AA19">
        <v>4.8647012268240003E-2</v>
      </c>
      <c r="AC19">
        <v>0</v>
      </c>
      <c r="AD19">
        <v>0.10578434463168</v>
      </c>
      <c r="AE19">
        <v>1.534658141611728E-11</v>
      </c>
      <c r="AF19">
        <v>6.9598432260787198E-10</v>
      </c>
      <c r="AG19">
        <v>7.1989844400076804E-6</v>
      </c>
      <c r="AH19">
        <v>1.2505484937052799E-5</v>
      </c>
      <c r="AI19">
        <v>1.36181371824E-4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1.1669566689264001E-2</v>
      </c>
    </row>
    <row r="20" spans="1:42" x14ac:dyDescent="0.25">
      <c r="A20" t="s">
        <v>21</v>
      </c>
      <c r="D20">
        <v>1.8327584173115734E-8</v>
      </c>
      <c r="E20">
        <v>8.7869302216501332E-10</v>
      </c>
      <c r="F20">
        <v>7.8156245263586678E-8</v>
      </c>
      <c r="H20">
        <v>1.4113321792044801E-9</v>
      </c>
      <c r="I20">
        <v>5.2305602346666667E-5</v>
      </c>
      <c r="J20">
        <v>1.0087509024E-4</v>
      </c>
      <c r="L20">
        <v>1.2062045512586668E-2</v>
      </c>
      <c r="O20">
        <v>6.6666666666666666E-2</v>
      </c>
      <c r="P20">
        <v>0</v>
      </c>
      <c r="Q20">
        <v>0.9375</v>
      </c>
      <c r="S20">
        <v>1</v>
      </c>
      <c r="T20">
        <v>5</v>
      </c>
      <c r="V20">
        <v>1.3018005117761067E-6</v>
      </c>
      <c r="W20">
        <v>0.15495347889477332</v>
      </c>
      <c r="X20">
        <v>1.0666666666666667</v>
      </c>
      <c r="Y20">
        <v>0.67250060160000003</v>
      </c>
      <c r="Z20">
        <v>0.82745408049477331</v>
      </c>
      <c r="AA20">
        <v>5.40522358536E-2</v>
      </c>
      <c r="AC20">
        <v>0</v>
      </c>
      <c r="AD20">
        <v>0.11753816070186666</v>
      </c>
      <c r="AE20">
        <v>1.70517571290192E-11</v>
      </c>
      <c r="AF20">
        <v>7.7331591400874664E-10</v>
      </c>
      <c r="AG20">
        <v>7.9988716000085339E-6</v>
      </c>
      <c r="AH20">
        <v>1.3894983263392E-5</v>
      </c>
      <c r="AI20">
        <v>1.5131263536000001E-4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1.2966185210293333E-2</v>
      </c>
    </row>
    <row r="21" spans="1:42" x14ac:dyDescent="0.25">
      <c r="A21" t="s">
        <v>22</v>
      </c>
      <c r="D21">
        <v>1.6494825755804161E-8</v>
      </c>
      <c r="E21">
        <v>7.9082371994851203E-10</v>
      </c>
      <c r="F21">
        <v>7.0340620737228009E-8</v>
      </c>
      <c r="H21">
        <v>1.270198961284032E-9</v>
      </c>
      <c r="I21">
        <v>4.7075042111999996E-5</v>
      </c>
      <c r="J21">
        <v>9.0787581216000008E-5</v>
      </c>
      <c r="L21">
        <v>1.0855840961328E-2</v>
      </c>
      <c r="O21">
        <v>6.6666666666666666E-2</v>
      </c>
      <c r="P21">
        <v>0</v>
      </c>
      <c r="Q21">
        <v>0.9375</v>
      </c>
      <c r="S21">
        <v>1</v>
      </c>
      <c r="T21">
        <v>5</v>
      </c>
      <c r="V21">
        <v>1.1716204605984961E-6</v>
      </c>
      <c r="W21">
        <v>0.139458131005296</v>
      </c>
      <c r="X21">
        <v>1.0666666666666667</v>
      </c>
      <c r="Y21">
        <v>0.67250060160000003</v>
      </c>
      <c r="Z21">
        <v>0.81195873260529605</v>
      </c>
      <c r="AA21">
        <v>4.8647012268240003E-2</v>
      </c>
      <c r="AC21">
        <v>0</v>
      </c>
      <c r="AD21">
        <v>0.10578434463168</v>
      </c>
      <c r="AE21">
        <v>1.534658141611728E-11</v>
      </c>
      <c r="AF21">
        <v>6.9598432260787198E-10</v>
      </c>
      <c r="AG21">
        <v>7.1989844400076804E-6</v>
      </c>
      <c r="AH21">
        <v>1.2505484937052799E-5</v>
      </c>
      <c r="AI21">
        <v>1.36181371824E-4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1.1669566689264001E-2</v>
      </c>
    </row>
    <row r="22" spans="1:42" x14ac:dyDescent="0.25">
      <c r="A22" t="s">
        <v>23</v>
      </c>
      <c r="D22">
        <v>1.8327584173115734E-8</v>
      </c>
      <c r="E22">
        <v>8.7869302216501332E-10</v>
      </c>
      <c r="F22">
        <v>7.8156245263586678E-8</v>
      </c>
      <c r="H22">
        <v>1.4113321792044801E-9</v>
      </c>
      <c r="I22">
        <v>5.2305602346666667E-5</v>
      </c>
      <c r="J22">
        <v>1.0087509024E-4</v>
      </c>
      <c r="L22">
        <v>1.2062045512586668E-2</v>
      </c>
      <c r="O22">
        <v>6.6666666666666666E-2</v>
      </c>
      <c r="P22">
        <v>0</v>
      </c>
      <c r="Q22">
        <v>0.9375</v>
      </c>
      <c r="S22">
        <v>1</v>
      </c>
      <c r="T22">
        <v>5</v>
      </c>
      <c r="V22">
        <v>1.3018005117761067E-6</v>
      </c>
      <c r="W22">
        <v>0.15495347889477332</v>
      </c>
      <c r="X22">
        <v>1.1193333333333333</v>
      </c>
      <c r="Y22">
        <v>0.67250060160000003</v>
      </c>
      <c r="Z22">
        <v>0.82745408049477331</v>
      </c>
      <c r="AA22">
        <v>5.40522358536E-2</v>
      </c>
      <c r="AC22">
        <v>0</v>
      </c>
      <c r="AD22">
        <v>0.11753816070186666</v>
      </c>
      <c r="AE22">
        <v>1.70517571290192E-11</v>
      </c>
      <c r="AF22">
        <v>7.7331591400874664E-10</v>
      </c>
      <c r="AG22">
        <v>7.9988716000085339E-6</v>
      </c>
      <c r="AH22">
        <v>1.3894983263392E-5</v>
      </c>
      <c r="AI22">
        <v>1.5131263536000001E-4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1.2966185210293333E-2</v>
      </c>
    </row>
    <row r="25" spans="1:42" x14ac:dyDescent="0.25">
      <c r="A25" t="s">
        <v>24</v>
      </c>
      <c r="D25">
        <f>MIN(D5:D22)</f>
        <v>1.5628400765447036E-8</v>
      </c>
      <c r="E25">
        <f t="shared" ref="E25:F25" si="0">MIN(E5:E22)</f>
        <v>7.4928406114432788E-10</v>
      </c>
      <c r="F25">
        <f t="shared" si="0"/>
        <v>6.6645833502357006E-8</v>
      </c>
      <c r="H25">
        <f>MIN(H5:H22)</f>
        <v>1.203479122040208E-9</v>
      </c>
      <c r="I25">
        <f t="shared" ref="I25:J25" si="1">MIN(I5:I22)</f>
        <v>4.4602327727999995E-5</v>
      </c>
      <c r="J25">
        <f t="shared" si="1"/>
        <v>8.6018774904000005E-5</v>
      </c>
      <c r="L25">
        <f>MIN(L5:L22)</f>
        <v>1.0285615362132001E-2</v>
      </c>
      <c r="O25">
        <f>MIN(O5:O22)</f>
        <v>6.6666666666666666E-2</v>
      </c>
      <c r="P25">
        <f t="shared" ref="P25:Q25" si="2">MIN(P5:P22)</f>
        <v>0</v>
      </c>
      <c r="Q25">
        <f t="shared" si="2"/>
        <v>0.9375</v>
      </c>
      <c r="S25">
        <f>MIN(S5:S22)</f>
        <v>1</v>
      </c>
      <c r="T25">
        <f>MIN(T5:T22)</f>
        <v>5</v>
      </c>
      <c r="V25">
        <f>MIN(V5:V22)</f>
        <v>1.5496584957608039E-7</v>
      </c>
      <c r="W25">
        <f t="shared" ref="W25:AA25" si="3">MIN(W5:W22)</f>
        <v>0.13213280295392399</v>
      </c>
      <c r="X25">
        <f t="shared" si="3"/>
        <v>1.0666666666666667</v>
      </c>
      <c r="Y25">
        <f t="shared" si="3"/>
        <v>0.19115283312</v>
      </c>
      <c r="Z25">
        <f t="shared" si="3"/>
        <v>0.76930891335392393</v>
      </c>
      <c r="AA25">
        <f t="shared" si="3"/>
        <v>4.6091726886059996E-2</v>
      </c>
      <c r="AC25">
        <f>MIN(AC5:AC22)</f>
        <v>0</v>
      </c>
      <c r="AD25">
        <f t="shared" ref="AD25:AI25" si="4">MIN(AD5:AD22)</f>
        <v>0.10022780216591999</v>
      </c>
      <c r="AE25">
        <f t="shared" si="4"/>
        <v>1.454047034514732E-11</v>
      </c>
      <c r="AF25">
        <f t="shared" si="4"/>
        <v>6.5942630017516803E-10</v>
      </c>
      <c r="AG25">
        <f t="shared" si="4"/>
        <v>6.8208428266099197E-6</v>
      </c>
      <c r="AH25">
        <f t="shared" si="4"/>
        <v>1.1848608360943199E-5</v>
      </c>
      <c r="AI25">
        <f t="shared" si="4"/>
        <v>1.2902816235599998E-4</v>
      </c>
      <c r="AK25">
        <f>MIN(AK5:AK22)</f>
        <v>0</v>
      </c>
      <c r="AL25">
        <f t="shared" ref="AL25:AP25" si="5">MIN(AL5:AL22)</f>
        <v>0</v>
      </c>
      <c r="AM25">
        <f t="shared" si="5"/>
        <v>0</v>
      </c>
      <c r="AN25">
        <f t="shared" si="5"/>
        <v>0</v>
      </c>
      <c r="AO25">
        <f t="shared" si="5"/>
        <v>0</v>
      </c>
      <c r="AP25">
        <f t="shared" si="5"/>
        <v>1.1056598455716E-2</v>
      </c>
    </row>
    <row r="26" spans="1:42" x14ac:dyDescent="0.25">
      <c r="A26" t="s">
        <v>25</v>
      </c>
      <c r="D26">
        <f>MAX(D5:D22)</f>
        <v>1.159503120592E-4</v>
      </c>
      <c r="E26">
        <f t="shared" ref="E26:F26" si="6">MAX(E5:E22)</f>
        <v>2.8833836905045336E-9</v>
      </c>
      <c r="F26">
        <f t="shared" si="6"/>
        <v>4.9129905061333335E-4</v>
      </c>
      <c r="H26">
        <f>MAX(H5:H22)</f>
        <v>1.3536764609606401E-8</v>
      </c>
      <c r="I26">
        <f t="shared" ref="I26:J26" si="7">MAX(I5:I22)</f>
        <v>2.5592384005333334E-4</v>
      </c>
      <c r="J26">
        <f t="shared" si="7"/>
        <v>9.3402861333333339E-4</v>
      </c>
      <c r="L26">
        <f>MAX(L5:L22)</f>
        <v>0.14815188253248002</v>
      </c>
      <c r="O26">
        <f>MAX(O5:O22)</f>
        <v>6.6666666666666666E-2</v>
      </c>
      <c r="P26">
        <f t="shared" ref="P26:Q26" si="8">MAX(P5:P22)</f>
        <v>0</v>
      </c>
      <c r="Q26">
        <f t="shared" si="8"/>
        <v>0.9375</v>
      </c>
      <c r="S26">
        <f>MAX(S5:S22)</f>
        <v>1</v>
      </c>
      <c r="T26">
        <f>MAX(T5:T22)</f>
        <v>5</v>
      </c>
      <c r="V26">
        <f>MAX(V5:V22)</f>
        <v>1.3018005117761067E-6</v>
      </c>
      <c r="W26">
        <f t="shared" ref="W26:AA26" si="9">MAX(W5:W22)</f>
        <v>2.1478174769322669</v>
      </c>
      <c r="X26">
        <f t="shared" si="9"/>
        <v>1.1193333333333333</v>
      </c>
      <c r="Y26">
        <f t="shared" si="9"/>
        <v>0.67250060160000003</v>
      </c>
      <c r="Z26">
        <f t="shared" si="9"/>
        <v>2.3495676574122668</v>
      </c>
      <c r="AA26">
        <f t="shared" si="9"/>
        <v>8.4058839085546663E-2</v>
      </c>
      <c r="AC26">
        <f>MAX(AC5:AC22)</f>
        <v>0</v>
      </c>
      <c r="AD26">
        <f t="shared" ref="AD26:AI26" si="10">MAX(AD5:AD22)</f>
        <v>0.62021554788282673</v>
      </c>
      <c r="AE26">
        <f t="shared" si="10"/>
        <v>5.1295543804208003E-11</v>
      </c>
      <c r="AF26">
        <f t="shared" si="10"/>
        <v>1.9693806506410665E-9</v>
      </c>
      <c r="AG26">
        <f t="shared" si="10"/>
        <v>3.2691001466666667E-4</v>
      </c>
      <c r="AH26">
        <f t="shared" si="10"/>
        <v>1.3636817754666665E-4</v>
      </c>
      <c r="AI26">
        <f t="shared" si="10"/>
        <v>7.7337569183999998E-4</v>
      </c>
      <c r="AK26">
        <f>MAX(AK5:AK22)</f>
        <v>0</v>
      </c>
      <c r="AL26">
        <f t="shared" ref="AL26:AP26" si="11">MAX(AL5:AL22)</f>
        <v>0</v>
      </c>
      <c r="AM26">
        <f t="shared" si="11"/>
        <v>0</v>
      </c>
      <c r="AN26">
        <f t="shared" si="11"/>
        <v>0</v>
      </c>
      <c r="AO26">
        <f t="shared" si="11"/>
        <v>0</v>
      </c>
      <c r="AP26">
        <f t="shared" si="11"/>
        <v>4.6043874522880002E-2</v>
      </c>
    </row>
    <row r="29" spans="1:42" x14ac:dyDescent="0.25">
      <c r="D29">
        <f>($D$26-D5)/($D$26-$D$25)</f>
        <v>5.2534158305411638E-2</v>
      </c>
      <c r="E29">
        <f>($E$26-E5)/($E$26-$E$25)</f>
        <v>7.0969375753623901E-2</v>
      </c>
      <c r="F29">
        <f>($F$26-F5)/($F$26-$F$25)</f>
        <v>5.2534203855911767E-2</v>
      </c>
      <c r="H29">
        <f>($H$26-H5)/($H$26-$H$25)</f>
        <v>5.765265744327764E-2</v>
      </c>
      <c r="I29">
        <f>($I$26-I5)/($I$26-$I$25)</f>
        <v>6.3613643615410664E-2</v>
      </c>
      <c r="J29">
        <f>($J$26-J5)/($J$26-$J$25)</f>
        <v>5.785521713309922E-2</v>
      </c>
      <c r="L29">
        <f>($L$26-L5)/($L$26-$L$25)</f>
        <v>5.6445899138942907E-2</v>
      </c>
      <c r="O29" t="e">
        <f>($O$26-O5)/($O$26-$O$25)</f>
        <v>#DIV/0!</v>
      </c>
      <c r="P29" t="e">
        <f>($P$26-P5)/($P$26-$P$25)</f>
        <v>#DIV/0!</v>
      </c>
      <c r="Q29" t="e">
        <f>(Q5-$Q$25)/($Q$26-$Q$25)</f>
        <v>#DIV/0!</v>
      </c>
      <c r="S29" t="e">
        <f>(S5-$S$25)/($S$26-$S$25)</f>
        <v>#DIV/0!</v>
      </c>
      <c r="T29" t="e">
        <f>($T$26-T5)/($T$26-$T$25)</f>
        <v>#DIV/0!</v>
      </c>
      <c r="V29">
        <f>($V$26-V5)/($V$26-$V$25)</f>
        <v>0.98498612895284765</v>
      </c>
      <c r="W29">
        <f>($W$26-W5)/($W$26-$W$25)</f>
        <v>5.5970349163392483E-2</v>
      </c>
      <c r="X29">
        <f>($X$26-X5)/($X$26-$X$25)</f>
        <v>0</v>
      </c>
      <c r="Y29">
        <f>(Y5-$Y$25)/($Y$26-$Y$25)</f>
        <v>0</v>
      </c>
      <c r="Z29">
        <f>($Z$26-Z5)/($Z$26-$Z$25)</f>
        <v>7.8098553689325667E-2</v>
      </c>
      <c r="AA29">
        <f>($AA$26-AA5)/($AA$26-$AA$25)</f>
        <v>0.11629446900326462</v>
      </c>
      <c r="AC29" t="e">
        <f>($AC$26-AC5)/($AC$26-$AC$25)</f>
        <v>#DIV/0!</v>
      </c>
      <c r="AD29">
        <f>($AD$26-AD5)/($AD$26-$AD$25)</f>
        <v>6.2651688239059089E-2</v>
      </c>
      <c r="AE29">
        <f>($AE$26-AE5)/($AE$26-$AE$25)</f>
        <v>7.3307022671499827E-2</v>
      </c>
      <c r="AF29">
        <f>($AF$26-AF5)/($AF$26-$AF$25)</f>
        <v>7.8969019012513866E-2</v>
      </c>
      <c r="AG29">
        <f>($AG$26-AG5)/($AG$26-$AG$25)</f>
        <v>5.3646387248760426E-2</v>
      </c>
      <c r="AH29">
        <f>($AH$26-AH5)/($AH$26-$AH$25)</f>
        <v>5.7525269911453639E-2</v>
      </c>
      <c r="AI29">
        <f>($AI$26-AI5)/($AI$26-$AI$25)</f>
        <v>6.3045426607798979E-2</v>
      </c>
      <c r="AK29" t="e">
        <f>($AK$26-AK5)/($AK$26-$AK$25)</f>
        <v>#DIV/0!</v>
      </c>
      <c r="AL29" t="e">
        <f>($AL$26-AL5)/($AL$26-$AL$25)</f>
        <v>#DIV/0!</v>
      </c>
      <c r="AM29" t="e">
        <f>($AM$26-AM5)/($AM$26-$AM$25)</f>
        <v>#DIV/0!</v>
      </c>
      <c r="AN29" t="e">
        <f>(AN5-$AN$25)/($AN$26-$AN$25)</f>
        <v>#DIV/0!</v>
      </c>
      <c r="AO29" t="e">
        <f>(AO5-$AO$25)/($AO$26-$AO$25)</f>
        <v>#DIV/0!</v>
      </c>
      <c r="AP29">
        <f>($AP$26-AP5)/($AP$26-$AP$25)</f>
        <v>6.9126563597497179E-2</v>
      </c>
    </row>
    <row r="30" spans="1:42" x14ac:dyDescent="0.25">
      <c r="D30">
        <f t="shared" ref="D30:D46" si="12">($D$26-D6)/($D$26-$D$25)</f>
        <v>0.14729422282455726</v>
      </c>
      <c r="E30">
        <f t="shared" ref="E30:E46" si="13">($E$26-E6)/($E$26-$E$25)</f>
        <v>0.19898251695977368</v>
      </c>
      <c r="F30">
        <f t="shared" ref="F30:F46" si="14">($F$26-F6)/($F$26-$F$25)</f>
        <v>0.14729435053813897</v>
      </c>
      <c r="H30">
        <f t="shared" ref="H30:H46" si="15">($H$26-H6)/($H$26-$H$25)</f>
        <v>0.16164536838126611</v>
      </c>
      <c r="I30">
        <f t="shared" ref="I30:I46" si="16">($I$26-I6)/($I$26-$I$25)</f>
        <v>0.17835866224214472</v>
      </c>
      <c r="J30">
        <f t="shared" ref="J30:J46" si="17">($J$26-J6)/($J$26-$J$25)</f>
        <v>0.16221330119013294</v>
      </c>
      <c r="L30">
        <f t="shared" ref="L30:L46" si="18">($L$26-L6)/($L$26-$L$25)</f>
        <v>0.15826188357237836</v>
      </c>
      <c r="O30" t="e">
        <f t="shared" ref="O30:O46" si="19">($O$26-O6)/($O$26-$O$25)</f>
        <v>#DIV/0!</v>
      </c>
      <c r="P30" t="e">
        <f t="shared" ref="P30:P46" si="20">($P$26-P6)/($P$26-$P$25)</f>
        <v>#DIV/0!</v>
      </c>
      <c r="Q30" t="e">
        <f t="shared" ref="Q30:Q46" si="21">(Q6-$Q$25)/($Q$26-$Q$25)</f>
        <v>#DIV/0!</v>
      </c>
      <c r="S30" t="e">
        <f t="shared" ref="S30:S46" si="22">(S6-$S$25)/($S$26-$S$25)</f>
        <v>#DIV/0!</v>
      </c>
      <c r="T30" t="e">
        <f t="shared" ref="T30:T46" si="23">($T$26-T6)/($T$26-$T$25)</f>
        <v>#DIV/0!</v>
      </c>
      <c r="V30">
        <f t="shared" ref="V30:V46" si="24">($V$26-V6)/($V$26-$V$25)</f>
        <v>1</v>
      </c>
      <c r="W30">
        <f t="shared" ref="W30:W46" si="25">($W$26-W6)/($W$26-$W$25)</f>
        <v>0.15692854605784712</v>
      </c>
      <c r="X30">
        <f t="shared" ref="X30:X46" si="26">($X$26-X6)/($X$26-$X$25)</f>
        <v>0</v>
      </c>
      <c r="Y30">
        <f t="shared" ref="Y30:Y46" si="27">(Y6-$Y$25)/($Y$26-$Y$25)</f>
        <v>0</v>
      </c>
      <c r="Z30">
        <f t="shared" ref="Z30:Z46" si="28">($Z$26-Z6)/($Z$26-$Z$25)</f>
        <v>0.20687486387130352</v>
      </c>
      <c r="AA30">
        <f t="shared" ref="AA30:AA46" si="29">($AA$26-AA6)/($AA$26-$AA$25)</f>
        <v>0.32606410730037155</v>
      </c>
      <c r="AC30" t="e">
        <f t="shared" ref="AC30:AC46" si="30">($AC$26-AC6)/($AC$26-$AC$25)</f>
        <v>#DIV/0!</v>
      </c>
      <c r="AD30">
        <f t="shared" ref="AD30:AD46" si="31">($AD$26-AD6)/($AD$26-$AD$25)</f>
        <v>0.17566155098877909</v>
      </c>
      <c r="AE30">
        <f t="shared" ref="AE30:AE46" si="32">($AE$26-AE6)/($AE$26-$AE$25)</f>
        <v>0.20553676465524517</v>
      </c>
      <c r="AF30">
        <f t="shared" ref="AF30:AF46" si="33">($AF$26-AF6)/($AF$26-$AF$25)</f>
        <v>0.22141175680486208</v>
      </c>
      <c r="AG30">
        <f t="shared" ref="AG30:AG46" si="34">($AG$26-AG6)/($AG$26-$AG$25)</f>
        <v>0.15041266810088835</v>
      </c>
      <c r="AH30">
        <f t="shared" ref="AH30:AH46" si="35">($AH$26-AH6)/($AH$26-$AH$25)</f>
        <v>0.1612882017661951</v>
      </c>
      <c r="AI30">
        <f t="shared" ref="AI30:AI46" si="36">($AI$26-AI6)/($AI$26-$AI$25)</f>
        <v>0.17676550675566494</v>
      </c>
      <c r="AK30" t="e">
        <f t="shared" ref="AK30:AK46" si="37">($AK$26-AK6)/($AK$26-$AK$25)</f>
        <v>#DIV/0!</v>
      </c>
      <c r="AL30" t="e">
        <f t="shared" ref="AL30:AL46" si="38">($AL$26-AL6)/($AL$26-$AL$25)</f>
        <v>#DIV/0!</v>
      </c>
      <c r="AM30" t="e">
        <f t="shared" ref="AM30:AM46" si="39">($AM$26-AM6)/($AM$26-$AM$25)</f>
        <v>#DIV/0!</v>
      </c>
      <c r="AN30" t="e">
        <f t="shared" ref="AN30:AN46" si="40">(AN6-$AN$25)/($AN$26-$AN$25)</f>
        <v>#DIV/0!</v>
      </c>
      <c r="AO30" t="e">
        <f t="shared" ref="AO30:AO46" si="41">(AO6-$AO$25)/($AO$26-$AO$25)</f>
        <v>#DIV/0!</v>
      </c>
      <c r="AP30">
        <f t="shared" ref="AP30:AP46" si="42">($AP$26-AP6)/($AP$26-$AP$25)</f>
        <v>0.19381567707684838</v>
      </c>
    </row>
    <row r="31" spans="1:42" x14ac:dyDescent="0.25">
      <c r="D31">
        <f t="shared" si="12"/>
        <v>5.2534158305411638E-2</v>
      </c>
      <c r="E31">
        <f t="shared" si="13"/>
        <v>7.0969375753623901E-2</v>
      </c>
      <c r="F31">
        <f t="shared" si="14"/>
        <v>5.2534203855911767E-2</v>
      </c>
      <c r="H31">
        <f t="shared" si="15"/>
        <v>5.765265744327764E-2</v>
      </c>
      <c r="I31">
        <f t="shared" si="16"/>
        <v>6.3613643615410664E-2</v>
      </c>
      <c r="J31">
        <f t="shared" si="17"/>
        <v>5.785521713309922E-2</v>
      </c>
      <c r="L31">
        <f t="shared" si="18"/>
        <v>5.6445899138942907E-2</v>
      </c>
      <c r="O31" t="e">
        <f t="shared" si="19"/>
        <v>#DIV/0!</v>
      </c>
      <c r="P31" t="e">
        <f t="shared" si="20"/>
        <v>#DIV/0!</v>
      </c>
      <c r="Q31" t="e">
        <f t="shared" si="21"/>
        <v>#DIV/0!</v>
      </c>
      <c r="S31" t="e">
        <f t="shared" si="22"/>
        <v>#DIV/0!</v>
      </c>
      <c r="T31" t="e">
        <f t="shared" si="23"/>
        <v>#DIV/0!</v>
      </c>
      <c r="V31">
        <f t="shared" si="24"/>
        <v>0.98498612895284765</v>
      </c>
      <c r="W31">
        <f t="shared" si="25"/>
        <v>5.5970349163392483E-2</v>
      </c>
      <c r="X31">
        <f t="shared" si="26"/>
        <v>0</v>
      </c>
      <c r="Y31">
        <f t="shared" si="27"/>
        <v>0</v>
      </c>
      <c r="Z31">
        <f t="shared" si="28"/>
        <v>7.8098553689325667E-2</v>
      </c>
      <c r="AA31">
        <f t="shared" si="29"/>
        <v>0.11629446900326462</v>
      </c>
      <c r="AC31" t="e">
        <f t="shared" si="30"/>
        <v>#DIV/0!</v>
      </c>
      <c r="AD31">
        <f t="shared" si="31"/>
        <v>6.2651688239059089E-2</v>
      </c>
      <c r="AE31">
        <f t="shared" si="32"/>
        <v>7.3307022671499827E-2</v>
      </c>
      <c r="AF31">
        <f t="shared" si="33"/>
        <v>7.8969019012513866E-2</v>
      </c>
      <c r="AG31">
        <f t="shared" si="34"/>
        <v>5.3646387248760426E-2</v>
      </c>
      <c r="AH31">
        <f t="shared" si="35"/>
        <v>5.7525269911453639E-2</v>
      </c>
      <c r="AI31">
        <f t="shared" si="36"/>
        <v>6.3045426607798979E-2</v>
      </c>
      <c r="AK31" t="e">
        <f t="shared" si="37"/>
        <v>#DIV/0!</v>
      </c>
      <c r="AL31" t="e">
        <f t="shared" si="38"/>
        <v>#DIV/0!</v>
      </c>
      <c r="AM31" t="e">
        <f t="shared" si="39"/>
        <v>#DIV/0!</v>
      </c>
      <c r="AN31" t="e">
        <f t="shared" si="40"/>
        <v>#DIV/0!</v>
      </c>
      <c r="AO31" t="e">
        <f t="shared" si="41"/>
        <v>#DIV/0!</v>
      </c>
      <c r="AP31">
        <f t="shared" si="42"/>
        <v>6.9126563597497179E-2</v>
      </c>
    </row>
    <row r="32" spans="1:42" x14ac:dyDescent="0.25">
      <c r="D32">
        <f t="shared" si="12"/>
        <v>0.14729422282455726</v>
      </c>
      <c r="E32">
        <f t="shared" si="13"/>
        <v>0.19898251695977368</v>
      </c>
      <c r="F32">
        <f t="shared" si="14"/>
        <v>0.14729435053813897</v>
      </c>
      <c r="H32">
        <f t="shared" si="15"/>
        <v>0.16164536838126611</v>
      </c>
      <c r="I32">
        <f t="shared" si="16"/>
        <v>0.17835866224214472</v>
      </c>
      <c r="J32">
        <f t="shared" si="17"/>
        <v>0.16221330119013294</v>
      </c>
      <c r="L32">
        <f t="shared" si="18"/>
        <v>0.15826188357237836</v>
      </c>
      <c r="O32" t="e">
        <f t="shared" si="19"/>
        <v>#DIV/0!</v>
      </c>
      <c r="P32" t="e">
        <f t="shared" si="20"/>
        <v>#DIV/0!</v>
      </c>
      <c r="Q32" t="e">
        <f t="shared" si="21"/>
        <v>#DIV/0!</v>
      </c>
      <c r="S32" t="e">
        <f t="shared" si="22"/>
        <v>#DIV/0!</v>
      </c>
      <c r="T32" t="e">
        <f t="shared" si="23"/>
        <v>#DIV/0!</v>
      </c>
      <c r="V32">
        <f t="shared" si="24"/>
        <v>1</v>
      </c>
      <c r="W32">
        <f t="shared" si="25"/>
        <v>0.15692854605784712</v>
      </c>
      <c r="X32">
        <f t="shared" si="26"/>
        <v>0</v>
      </c>
      <c r="Y32">
        <f t="shared" si="27"/>
        <v>0</v>
      </c>
      <c r="Z32">
        <f t="shared" si="28"/>
        <v>0.20687486387130352</v>
      </c>
      <c r="AA32">
        <f t="shared" si="29"/>
        <v>0.32606410730037155</v>
      </c>
      <c r="AC32" t="e">
        <f t="shared" si="30"/>
        <v>#DIV/0!</v>
      </c>
      <c r="AD32">
        <f t="shared" si="31"/>
        <v>0.17566155098877909</v>
      </c>
      <c r="AE32">
        <f t="shared" si="32"/>
        <v>0.20553676465524517</v>
      </c>
      <c r="AF32">
        <f t="shared" si="33"/>
        <v>0.22141175680486208</v>
      </c>
      <c r="AG32">
        <f t="shared" si="34"/>
        <v>0.15041266810088835</v>
      </c>
      <c r="AH32">
        <f t="shared" si="35"/>
        <v>0.1612882017661951</v>
      </c>
      <c r="AI32">
        <f t="shared" si="36"/>
        <v>0.17676550675566494</v>
      </c>
      <c r="AK32" t="e">
        <f t="shared" si="37"/>
        <v>#DIV/0!</v>
      </c>
      <c r="AL32" t="e">
        <f t="shared" si="38"/>
        <v>#DIV/0!</v>
      </c>
      <c r="AM32" t="e">
        <f t="shared" si="39"/>
        <v>#DIV/0!</v>
      </c>
      <c r="AN32" t="e">
        <f t="shared" si="40"/>
        <v>#DIV/0!</v>
      </c>
      <c r="AO32" t="e">
        <f t="shared" si="41"/>
        <v>#DIV/0!</v>
      </c>
      <c r="AP32">
        <f t="shared" si="42"/>
        <v>0.19381567707684838</v>
      </c>
    </row>
    <row r="33" spans="4:42" x14ac:dyDescent="0.25">
      <c r="D33">
        <f t="shared" si="12"/>
        <v>0</v>
      </c>
      <c r="E33">
        <f t="shared" si="13"/>
        <v>0</v>
      </c>
      <c r="F33">
        <f t="shared" si="14"/>
        <v>0</v>
      </c>
      <c r="H33">
        <f t="shared" si="15"/>
        <v>0</v>
      </c>
      <c r="I33">
        <f t="shared" si="16"/>
        <v>0</v>
      </c>
      <c r="J33">
        <f t="shared" si="17"/>
        <v>0</v>
      </c>
      <c r="L33">
        <f t="shared" si="18"/>
        <v>0</v>
      </c>
      <c r="O33" t="e">
        <f t="shared" si="19"/>
        <v>#DIV/0!</v>
      </c>
      <c r="P33" t="e">
        <f t="shared" si="20"/>
        <v>#DIV/0!</v>
      </c>
      <c r="Q33" t="e">
        <f t="shared" si="21"/>
        <v>#DIV/0!</v>
      </c>
      <c r="S33" t="e">
        <f t="shared" si="22"/>
        <v>#DIV/0!</v>
      </c>
      <c r="T33" t="e">
        <f t="shared" si="23"/>
        <v>#DIV/0!</v>
      </c>
      <c r="V33">
        <f t="shared" si="24"/>
        <v>0.97666256899781234</v>
      </c>
      <c r="W33">
        <f t="shared" si="25"/>
        <v>0</v>
      </c>
      <c r="X33">
        <f t="shared" si="26"/>
        <v>1</v>
      </c>
      <c r="Y33">
        <f t="shared" si="27"/>
        <v>2.2015989382197225E-2</v>
      </c>
      <c r="Z33">
        <f t="shared" si="28"/>
        <v>0</v>
      </c>
      <c r="AA33">
        <f t="shared" si="29"/>
        <v>0</v>
      </c>
      <c r="AC33" t="e">
        <f t="shared" si="30"/>
        <v>#DIV/0!</v>
      </c>
      <c r="AD33">
        <f t="shared" si="31"/>
        <v>0</v>
      </c>
      <c r="AE33">
        <f t="shared" si="32"/>
        <v>0</v>
      </c>
      <c r="AF33">
        <f t="shared" si="33"/>
        <v>0</v>
      </c>
      <c r="AG33">
        <f t="shared" si="34"/>
        <v>0</v>
      </c>
      <c r="AH33">
        <f t="shared" si="35"/>
        <v>0</v>
      </c>
      <c r="AI33">
        <f t="shared" si="36"/>
        <v>0</v>
      </c>
      <c r="AK33" t="e">
        <f t="shared" si="37"/>
        <v>#DIV/0!</v>
      </c>
      <c r="AL33" t="e">
        <f t="shared" si="38"/>
        <v>#DIV/0!</v>
      </c>
      <c r="AM33" t="e">
        <f t="shared" si="39"/>
        <v>#DIV/0!</v>
      </c>
      <c r="AN33" t="e">
        <f t="shared" si="40"/>
        <v>#DIV/0!</v>
      </c>
      <c r="AO33" t="e">
        <f t="shared" si="41"/>
        <v>#DIV/0!</v>
      </c>
      <c r="AP33">
        <f t="shared" si="42"/>
        <v>0</v>
      </c>
    </row>
    <row r="34" spans="4:42" x14ac:dyDescent="0.25">
      <c r="D34">
        <f t="shared" si="12"/>
        <v>0.10001348034968677</v>
      </c>
      <c r="E34">
        <f t="shared" si="13"/>
        <v>0.1351100787815121</v>
      </c>
      <c r="F34">
        <f t="shared" si="14"/>
        <v>0.10001356706781833</v>
      </c>
      <c r="H34">
        <f t="shared" si="15"/>
        <v>0.10975797668231625</v>
      </c>
      <c r="I34">
        <f t="shared" si="16"/>
        <v>0.12110638298827522</v>
      </c>
      <c r="J34">
        <f t="shared" si="17"/>
        <v>0.1101436057703437</v>
      </c>
      <c r="L34">
        <f t="shared" si="18"/>
        <v>0.10746057434732977</v>
      </c>
      <c r="O34" t="e">
        <f t="shared" si="19"/>
        <v>#DIV/0!</v>
      </c>
      <c r="P34" t="e">
        <f t="shared" si="20"/>
        <v>#DIV/0!</v>
      </c>
      <c r="Q34" t="e">
        <f t="shared" si="21"/>
        <v>#DIV/0!</v>
      </c>
      <c r="S34" t="e">
        <f t="shared" si="22"/>
        <v>#DIV/0!</v>
      </c>
      <c r="T34" t="e">
        <f t="shared" si="23"/>
        <v>#DIV/0!</v>
      </c>
      <c r="V34">
        <f t="shared" si="24"/>
        <v>0.99250879604046804</v>
      </c>
      <c r="W34">
        <f t="shared" si="25"/>
        <v>0.10655523181079388</v>
      </c>
      <c r="X34">
        <f t="shared" si="26"/>
        <v>1</v>
      </c>
      <c r="Y34">
        <f t="shared" si="27"/>
        <v>2.2015989382197225E-2</v>
      </c>
      <c r="Z34">
        <f t="shared" si="28"/>
        <v>0.13591555718377793</v>
      </c>
      <c r="AA34">
        <f t="shared" si="29"/>
        <v>0.22139908519743348</v>
      </c>
      <c r="AC34" t="e">
        <f t="shared" si="30"/>
        <v>#DIV/0!</v>
      </c>
      <c r="AD34">
        <f t="shared" si="31"/>
        <v>0.11927503157362596</v>
      </c>
      <c r="AE34">
        <f t="shared" si="32"/>
        <v>0.13956044425089539</v>
      </c>
      <c r="AF34">
        <f t="shared" si="33"/>
        <v>0.1503396396935997</v>
      </c>
      <c r="AG34">
        <f t="shared" si="34"/>
        <v>0.10213091957700396</v>
      </c>
      <c r="AH34">
        <f t="shared" si="35"/>
        <v>0.10951545884588693</v>
      </c>
      <c r="AI34">
        <f t="shared" si="36"/>
        <v>0.12002462280864595</v>
      </c>
      <c r="AK34" t="e">
        <f t="shared" si="37"/>
        <v>#DIV/0!</v>
      </c>
      <c r="AL34" t="e">
        <f t="shared" si="38"/>
        <v>#DIV/0!</v>
      </c>
      <c r="AM34" t="e">
        <f t="shared" si="39"/>
        <v>#DIV/0!</v>
      </c>
      <c r="AN34" t="e">
        <f t="shared" si="40"/>
        <v>#DIV/0!</v>
      </c>
      <c r="AO34" t="e">
        <f t="shared" si="41"/>
        <v>#DIV/0!</v>
      </c>
      <c r="AP34">
        <f t="shared" si="42"/>
        <v>0.13160176983910091</v>
      </c>
    </row>
    <row r="35" spans="4:42" x14ac:dyDescent="0.25">
      <c r="D35">
        <f t="shared" si="12"/>
        <v>0</v>
      </c>
      <c r="E35">
        <f t="shared" si="13"/>
        <v>0</v>
      </c>
      <c r="F35">
        <f t="shared" si="14"/>
        <v>0</v>
      </c>
      <c r="H35">
        <f t="shared" si="15"/>
        <v>0</v>
      </c>
      <c r="I35">
        <f t="shared" si="16"/>
        <v>0</v>
      </c>
      <c r="J35">
        <f t="shared" si="17"/>
        <v>0</v>
      </c>
      <c r="L35">
        <f t="shared" si="18"/>
        <v>0</v>
      </c>
      <c r="O35" t="e">
        <f t="shared" si="19"/>
        <v>#DIV/0!</v>
      </c>
      <c r="P35" t="e">
        <f t="shared" si="20"/>
        <v>#DIV/0!</v>
      </c>
      <c r="Q35" t="e">
        <f t="shared" si="21"/>
        <v>#DIV/0!</v>
      </c>
      <c r="S35" t="e">
        <f t="shared" si="22"/>
        <v>#DIV/0!</v>
      </c>
      <c r="T35" t="e">
        <f t="shared" si="23"/>
        <v>#DIV/0!</v>
      </c>
      <c r="V35">
        <f t="shared" si="24"/>
        <v>0.97666256899781234</v>
      </c>
      <c r="W35">
        <f t="shared" si="25"/>
        <v>0</v>
      </c>
      <c r="X35">
        <f t="shared" si="26"/>
        <v>1</v>
      </c>
      <c r="Y35">
        <f t="shared" si="27"/>
        <v>2.2015989382197225E-2</v>
      </c>
      <c r="Z35">
        <f t="shared" si="28"/>
        <v>0</v>
      </c>
      <c r="AA35">
        <f t="shared" si="29"/>
        <v>0</v>
      </c>
      <c r="AC35" t="e">
        <f t="shared" si="30"/>
        <v>#DIV/0!</v>
      </c>
      <c r="AD35">
        <f t="shared" si="31"/>
        <v>0</v>
      </c>
      <c r="AE35">
        <f t="shared" si="32"/>
        <v>0</v>
      </c>
      <c r="AF35">
        <f t="shared" si="33"/>
        <v>0</v>
      </c>
      <c r="AG35">
        <f t="shared" si="34"/>
        <v>0</v>
      </c>
      <c r="AH35">
        <f t="shared" si="35"/>
        <v>0</v>
      </c>
      <c r="AI35">
        <f t="shared" si="36"/>
        <v>0</v>
      </c>
      <c r="AK35" t="e">
        <f t="shared" si="37"/>
        <v>#DIV/0!</v>
      </c>
      <c r="AL35" t="e">
        <f t="shared" si="38"/>
        <v>#DIV/0!</v>
      </c>
      <c r="AM35" t="e">
        <f t="shared" si="39"/>
        <v>#DIV/0!</v>
      </c>
      <c r="AN35" t="e">
        <f t="shared" si="40"/>
        <v>#DIV/0!</v>
      </c>
      <c r="AO35" t="e">
        <f t="shared" si="41"/>
        <v>#DIV/0!</v>
      </c>
      <c r="AP35">
        <f t="shared" si="42"/>
        <v>0</v>
      </c>
    </row>
    <row r="36" spans="4:42" x14ac:dyDescent="0.25">
      <c r="D36">
        <f t="shared" si="12"/>
        <v>0.10001348034968677</v>
      </c>
      <c r="E36">
        <f t="shared" si="13"/>
        <v>0.1351100787815121</v>
      </c>
      <c r="F36">
        <f t="shared" si="14"/>
        <v>0.10001356706781833</v>
      </c>
      <c r="H36">
        <f t="shared" si="15"/>
        <v>0.10975797668231625</v>
      </c>
      <c r="I36">
        <f t="shared" si="16"/>
        <v>0.12110638298827522</v>
      </c>
      <c r="J36">
        <f t="shared" si="17"/>
        <v>0.1101436057703437</v>
      </c>
      <c r="L36">
        <f t="shared" si="18"/>
        <v>0.10746057434732977</v>
      </c>
      <c r="O36" t="e">
        <f t="shared" si="19"/>
        <v>#DIV/0!</v>
      </c>
      <c r="P36" t="e">
        <f t="shared" si="20"/>
        <v>#DIV/0!</v>
      </c>
      <c r="Q36" t="e">
        <f t="shared" si="21"/>
        <v>#DIV/0!</v>
      </c>
      <c r="S36" t="e">
        <f t="shared" si="22"/>
        <v>#DIV/0!</v>
      </c>
      <c r="T36" t="e">
        <f t="shared" si="23"/>
        <v>#DIV/0!</v>
      </c>
      <c r="V36">
        <f t="shared" si="24"/>
        <v>0.99250879604046804</v>
      </c>
      <c r="W36">
        <f t="shared" si="25"/>
        <v>0.10655523181079388</v>
      </c>
      <c r="X36">
        <f t="shared" si="26"/>
        <v>1</v>
      </c>
      <c r="Y36">
        <f t="shared" si="27"/>
        <v>2.2015989382197225E-2</v>
      </c>
      <c r="Z36">
        <f t="shared" si="28"/>
        <v>0.13591555718377793</v>
      </c>
      <c r="AA36">
        <f t="shared" si="29"/>
        <v>0.22139908519743348</v>
      </c>
      <c r="AC36" t="e">
        <f t="shared" si="30"/>
        <v>#DIV/0!</v>
      </c>
      <c r="AD36">
        <f t="shared" si="31"/>
        <v>0.11927503157362596</v>
      </c>
      <c r="AE36">
        <f t="shared" si="32"/>
        <v>0.13956044425089539</v>
      </c>
      <c r="AF36">
        <f t="shared" si="33"/>
        <v>0.1503396396935997</v>
      </c>
      <c r="AG36">
        <f t="shared" si="34"/>
        <v>0.10213091957700396</v>
      </c>
      <c r="AH36">
        <f t="shared" si="35"/>
        <v>0.10951545884588693</v>
      </c>
      <c r="AI36">
        <f t="shared" si="36"/>
        <v>0.12002462280864595</v>
      </c>
      <c r="AK36" t="e">
        <f t="shared" si="37"/>
        <v>#DIV/0!</v>
      </c>
      <c r="AL36" t="e">
        <f t="shared" si="38"/>
        <v>#DIV/0!</v>
      </c>
      <c r="AM36" t="e">
        <f t="shared" si="39"/>
        <v>#DIV/0!</v>
      </c>
      <c r="AN36" t="e">
        <f t="shared" si="40"/>
        <v>#DIV/0!</v>
      </c>
      <c r="AO36" t="e">
        <f t="shared" si="41"/>
        <v>#DIV/0!</v>
      </c>
      <c r="AP36">
        <f t="shared" si="42"/>
        <v>0.13160176983910091</v>
      </c>
    </row>
    <row r="37" spans="4:42" x14ac:dyDescent="0.25">
      <c r="D37">
        <f t="shared" si="12"/>
        <v>0</v>
      </c>
      <c r="E37">
        <f t="shared" si="13"/>
        <v>0</v>
      </c>
      <c r="F37">
        <f t="shared" si="14"/>
        <v>0</v>
      </c>
      <c r="H37">
        <f t="shared" si="15"/>
        <v>0</v>
      </c>
      <c r="I37">
        <f t="shared" si="16"/>
        <v>0</v>
      </c>
      <c r="J37">
        <f t="shared" si="17"/>
        <v>0</v>
      </c>
      <c r="L37">
        <f t="shared" si="18"/>
        <v>0</v>
      </c>
      <c r="O37" t="e">
        <f t="shared" si="19"/>
        <v>#DIV/0!</v>
      </c>
      <c r="P37" t="e">
        <f t="shared" si="20"/>
        <v>#DIV/0!</v>
      </c>
      <c r="Q37" t="e">
        <f t="shared" si="21"/>
        <v>#DIV/0!</v>
      </c>
      <c r="S37" t="e">
        <f t="shared" si="22"/>
        <v>#DIV/0!</v>
      </c>
      <c r="T37" t="e">
        <f t="shared" si="23"/>
        <v>#DIV/0!</v>
      </c>
      <c r="V37">
        <f t="shared" si="24"/>
        <v>0.97666256899781234</v>
      </c>
      <c r="W37">
        <f t="shared" si="25"/>
        <v>0</v>
      </c>
      <c r="X37">
        <f t="shared" si="26"/>
        <v>0</v>
      </c>
      <c r="Y37">
        <f t="shared" si="27"/>
        <v>2.2015989382197225E-2</v>
      </c>
      <c r="Z37">
        <f t="shared" si="28"/>
        <v>0</v>
      </c>
      <c r="AA37">
        <f t="shared" si="29"/>
        <v>0</v>
      </c>
      <c r="AC37" t="e">
        <f t="shared" si="30"/>
        <v>#DIV/0!</v>
      </c>
      <c r="AD37">
        <f t="shared" si="31"/>
        <v>0</v>
      </c>
      <c r="AE37">
        <f t="shared" si="32"/>
        <v>0</v>
      </c>
      <c r="AF37">
        <f t="shared" si="33"/>
        <v>0</v>
      </c>
      <c r="AG37">
        <f t="shared" si="34"/>
        <v>0</v>
      </c>
      <c r="AH37">
        <f t="shared" si="35"/>
        <v>0</v>
      </c>
      <c r="AI37">
        <f t="shared" si="36"/>
        <v>0</v>
      </c>
      <c r="AK37" t="e">
        <f t="shared" si="37"/>
        <v>#DIV/0!</v>
      </c>
      <c r="AL37" t="e">
        <f t="shared" si="38"/>
        <v>#DIV/0!</v>
      </c>
      <c r="AM37" t="e">
        <f t="shared" si="39"/>
        <v>#DIV/0!</v>
      </c>
      <c r="AN37" t="e">
        <f t="shared" si="40"/>
        <v>#DIV/0!</v>
      </c>
      <c r="AO37" t="e">
        <f t="shared" si="41"/>
        <v>#DIV/0!</v>
      </c>
      <c r="AP37">
        <f t="shared" si="42"/>
        <v>0</v>
      </c>
    </row>
    <row r="38" spans="4:42" x14ac:dyDescent="0.25">
      <c r="D38">
        <f t="shared" si="12"/>
        <v>0.99998502183368121</v>
      </c>
      <c r="E38">
        <f t="shared" si="13"/>
        <v>0.96098880135387543</v>
      </c>
      <c r="F38">
        <f t="shared" si="14"/>
        <v>0.99998492548020179</v>
      </c>
      <c r="H38">
        <f t="shared" si="15"/>
        <v>0.98915780368631523</v>
      </c>
      <c r="I38">
        <f t="shared" si="16"/>
        <v>0.97654846334636081</v>
      </c>
      <c r="J38">
        <f t="shared" si="17"/>
        <v>0.98872932692184035</v>
      </c>
      <c r="L38">
        <f t="shared" si="18"/>
        <v>0.99171047294741133</v>
      </c>
      <c r="O38" t="e">
        <f t="shared" si="19"/>
        <v>#DIV/0!</v>
      </c>
      <c r="P38" t="e">
        <f t="shared" si="20"/>
        <v>#DIV/0!</v>
      </c>
      <c r="Q38" t="e">
        <f t="shared" si="21"/>
        <v>#DIV/0!</v>
      </c>
      <c r="S38" t="e">
        <f t="shared" si="22"/>
        <v>#DIV/0!</v>
      </c>
      <c r="T38" t="e">
        <f t="shared" si="23"/>
        <v>#DIV/0!</v>
      </c>
      <c r="V38">
        <f t="shared" si="24"/>
        <v>5.9624790380481386E-2</v>
      </c>
      <c r="W38">
        <f t="shared" si="25"/>
        <v>0.99271640909911807</v>
      </c>
      <c r="X38">
        <f t="shared" si="26"/>
        <v>0</v>
      </c>
      <c r="Y38">
        <f t="shared" si="27"/>
        <v>0.9266133687260093</v>
      </c>
      <c r="Z38">
        <f t="shared" si="28"/>
        <v>0.99070948184552865</v>
      </c>
      <c r="AA38">
        <f t="shared" si="29"/>
        <v>0.86511212755840716</v>
      </c>
      <c r="AC38" t="e">
        <f t="shared" si="30"/>
        <v>#DIV/0!</v>
      </c>
      <c r="AD38">
        <f t="shared" si="31"/>
        <v>0.97858329825152657</v>
      </c>
      <c r="AE38">
        <f t="shared" si="32"/>
        <v>0.95604395083233851</v>
      </c>
      <c r="AF38">
        <f t="shared" si="33"/>
        <v>0.94406706700711152</v>
      </c>
      <c r="AG38">
        <f t="shared" si="34"/>
        <v>0.99763231158110666</v>
      </c>
      <c r="AH38">
        <f t="shared" si="35"/>
        <v>0.98942726794901459</v>
      </c>
      <c r="AI38">
        <f t="shared" si="36"/>
        <v>0.97775041910150429</v>
      </c>
      <c r="AK38" t="e">
        <f t="shared" si="37"/>
        <v>#DIV/0!</v>
      </c>
      <c r="AL38" t="e">
        <f t="shared" si="38"/>
        <v>#DIV/0!</v>
      </c>
      <c r="AM38" t="e">
        <f t="shared" si="39"/>
        <v>#DIV/0!</v>
      </c>
      <c r="AN38" t="e">
        <f t="shared" si="40"/>
        <v>#DIV/0!</v>
      </c>
      <c r="AO38" t="e">
        <f t="shared" si="41"/>
        <v>#DIV/0!</v>
      </c>
      <c r="AP38">
        <f t="shared" si="42"/>
        <v>0.96488692240099916</v>
      </c>
    </row>
    <row r="39" spans="4:42" x14ac:dyDescent="0.25">
      <c r="D39">
        <f t="shared" si="12"/>
        <v>1</v>
      </c>
      <c r="E39">
        <f t="shared" si="13"/>
        <v>1</v>
      </c>
      <c r="F39">
        <f t="shared" si="14"/>
        <v>1</v>
      </c>
      <c r="H39">
        <f t="shared" si="15"/>
        <v>1</v>
      </c>
      <c r="I39">
        <f t="shared" si="16"/>
        <v>1</v>
      </c>
      <c r="J39">
        <f t="shared" si="17"/>
        <v>1</v>
      </c>
      <c r="L39">
        <f t="shared" si="18"/>
        <v>1</v>
      </c>
      <c r="O39" t="e">
        <f t="shared" si="19"/>
        <v>#DIV/0!</v>
      </c>
      <c r="P39" t="e">
        <f t="shared" si="20"/>
        <v>#DIV/0!</v>
      </c>
      <c r="Q39" t="e">
        <f t="shared" si="21"/>
        <v>#DIV/0!</v>
      </c>
      <c r="S39" t="e">
        <f t="shared" si="22"/>
        <v>#DIV/0!</v>
      </c>
      <c r="T39" t="e">
        <f t="shared" si="23"/>
        <v>#DIV/0!</v>
      </c>
      <c r="V39">
        <f t="shared" si="24"/>
        <v>0.16717479528487014</v>
      </c>
      <c r="W39">
        <f t="shared" si="25"/>
        <v>1</v>
      </c>
      <c r="X39">
        <f t="shared" si="26"/>
        <v>0</v>
      </c>
      <c r="Y39">
        <f t="shared" si="27"/>
        <v>0.9266133687260093</v>
      </c>
      <c r="Z39">
        <f t="shared" si="28"/>
        <v>1</v>
      </c>
      <c r="AA39">
        <f t="shared" si="29"/>
        <v>1</v>
      </c>
      <c r="AC39" t="e">
        <f t="shared" si="30"/>
        <v>#DIV/0!</v>
      </c>
      <c r="AD39">
        <f t="shared" si="31"/>
        <v>1</v>
      </c>
      <c r="AE39">
        <f t="shared" si="32"/>
        <v>1</v>
      </c>
      <c r="AF39">
        <f t="shared" si="33"/>
        <v>1</v>
      </c>
      <c r="AG39">
        <f t="shared" si="34"/>
        <v>1</v>
      </c>
      <c r="AH39">
        <f t="shared" si="35"/>
        <v>1</v>
      </c>
      <c r="AI39">
        <f t="shared" si="36"/>
        <v>1</v>
      </c>
      <c r="AK39" t="e">
        <f t="shared" si="37"/>
        <v>#DIV/0!</v>
      </c>
      <c r="AL39" t="e">
        <f t="shared" si="38"/>
        <v>#DIV/0!</v>
      </c>
      <c r="AM39" t="e">
        <f t="shared" si="39"/>
        <v>#DIV/0!</v>
      </c>
      <c r="AN39" t="e">
        <f t="shared" si="40"/>
        <v>#DIV/0!</v>
      </c>
      <c r="AO39" t="e">
        <f t="shared" si="41"/>
        <v>#DIV/0!</v>
      </c>
      <c r="AP39">
        <f t="shared" si="42"/>
        <v>1</v>
      </c>
    </row>
    <row r="40" spans="4:42" x14ac:dyDescent="0.25">
      <c r="D40">
        <f t="shared" si="12"/>
        <v>0.99998502183368121</v>
      </c>
      <c r="E40">
        <f t="shared" si="13"/>
        <v>0.96098880135387543</v>
      </c>
      <c r="F40">
        <f t="shared" si="14"/>
        <v>0.99998492548020179</v>
      </c>
      <c r="H40">
        <f t="shared" si="15"/>
        <v>0.98915780368631523</v>
      </c>
      <c r="I40">
        <f t="shared" si="16"/>
        <v>0.97654846334636081</v>
      </c>
      <c r="J40">
        <f t="shared" si="17"/>
        <v>0.98872932692184035</v>
      </c>
      <c r="L40">
        <f t="shared" si="18"/>
        <v>0.99171047294741133</v>
      </c>
      <c r="O40" t="e">
        <f t="shared" si="19"/>
        <v>#DIV/0!</v>
      </c>
      <c r="P40" t="e">
        <f t="shared" si="20"/>
        <v>#DIV/0!</v>
      </c>
      <c r="Q40" t="e">
        <f t="shared" si="21"/>
        <v>#DIV/0!</v>
      </c>
      <c r="S40" t="e">
        <f t="shared" si="22"/>
        <v>#DIV/0!</v>
      </c>
      <c r="T40" t="e">
        <f t="shared" si="23"/>
        <v>#DIV/0!</v>
      </c>
      <c r="V40">
        <f t="shared" si="24"/>
        <v>5.9624790380481386E-2</v>
      </c>
      <c r="W40">
        <f t="shared" si="25"/>
        <v>0.99271640909911807</v>
      </c>
      <c r="X40">
        <f t="shared" si="26"/>
        <v>0</v>
      </c>
      <c r="Y40">
        <f t="shared" si="27"/>
        <v>0.9266133687260093</v>
      </c>
      <c r="Z40">
        <f t="shared" si="28"/>
        <v>0.99070948184552865</v>
      </c>
      <c r="AA40">
        <f t="shared" si="29"/>
        <v>0.86511212755840716</v>
      </c>
      <c r="AC40" t="e">
        <f t="shared" si="30"/>
        <v>#DIV/0!</v>
      </c>
      <c r="AD40">
        <f t="shared" si="31"/>
        <v>0.97858329825152657</v>
      </c>
      <c r="AE40">
        <f t="shared" si="32"/>
        <v>0.95604395083233851</v>
      </c>
      <c r="AF40">
        <f t="shared" si="33"/>
        <v>0.94406706700711152</v>
      </c>
      <c r="AG40">
        <f t="shared" si="34"/>
        <v>0.99763231158110666</v>
      </c>
      <c r="AH40">
        <f t="shared" si="35"/>
        <v>0.98942726794901459</v>
      </c>
      <c r="AI40">
        <f t="shared" si="36"/>
        <v>0.97775041910150429</v>
      </c>
      <c r="AK40" t="e">
        <f t="shared" si="37"/>
        <v>#DIV/0!</v>
      </c>
      <c r="AL40" t="e">
        <f t="shared" si="38"/>
        <v>#DIV/0!</v>
      </c>
      <c r="AM40" t="e">
        <f t="shared" si="39"/>
        <v>#DIV/0!</v>
      </c>
      <c r="AN40" t="e">
        <f t="shared" si="40"/>
        <v>#DIV/0!</v>
      </c>
      <c r="AO40" t="e">
        <f t="shared" si="41"/>
        <v>#DIV/0!</v>
      </c>
      <c r="AP40">
        <f t="shared" si="42"/>
        <v>0.96488692240099916</v>
      </c>
    </row>
    <row r="41" spans="4:42" x14ac:dyDescent="0.25">
      <c r="D41">
        <f t="shared" si="12"/>
        <v>1</v>
      </c>
      <c r="E41">
        <f t="shared" si="13"/>
        <v>1</v>
      </c>
      <c r="F41">
        <f t="shared" si="14"/>
        <v>1</v>
      </c>
      <c r="H41">
        <f t="shared" si="15"/>
        <v>1</v>
      </c>
      <c r="I41">
        <f t="shared" si="16"/>
        <v>1</v>
      </c>
      <c r="J41">
        <f t="shared" si="17"/>
        <v>1</v>
      </c>
      <c r="L41">
        <f t="shared" si="18"/>
        <v>1</v>
      </c>
      <c r="O41" t="e">
        <f t="shared" si="19"/>
        <v>#DIV/0!</v>
      </c>
      <c r="P41" t="e">
        <f t="shared" si="20"/>
        <v>#DIV/0!</v>
      </c>
      <c r="Q41" t="e">
        <f t="shared" si="21"/>
        <v>#DIV/0!</v>
      </c>
      <c r="S41" t="e">
        <f t="shared" si="22"/>
        <v>#DIV/0!</v>
      </c>
      <c r="T41" t="e">
        <f t="shared" si="23"/>
        <v>#DIV/0!</v>
      </c>
      <c r="V41">
        <f t="shared" si="24"/>
        <v>0.16717479528487014</v>
      </c>
      <c r="W41">
        <f t="shared" si="25"/>
        <v>1</v>
      </c>
      <c r="X41">
        <f t="shared" si="26"/>
        <v>0</v>
      </c>
      <c r="Y41">
        <f t="shared" si="27"/>
        <v>0.9266133687260093</v>
      </c>
      <c r="Z41">
        <f t="shared" si="28"/>
        <v>1</v>
      </c>
      <c r="AA41">
        <f t="shared" si="29"/>
        <v>1</v>
      </c>
      <c r="AC41" t="e">
        <f t="shared" si="30"/>
        <v>#DIV/0!</v>
      </c>
      <c r="AD41">
        <f t="shared" si="31"/>
        <v>1</v>
      </c>
      <c r="AE41">
        <f t="shared" si="32"/>
        <v>1</v>
      </c>
      <c r="AF41">
        <f t="shared" si="33"/>
        <v>1</v>
      </c>
      <c r="AG41">
        <f t="shared" si="34"/>
        <v>1</v>
      </c>
      <c r="AH41">
        <f t="shared" si="35"/>
        <v>1</v>
      </c>
      <c r="AI41">
        <f t="shared" si="36"/>
        <v>1</v>
      </c>
      <c r="AK41" t="e">
        <f t="shared" si="37"/>
        <v>#DIV/0!</v>
      </c>
      <c r="AL41" t="e">
        <f t="shared" si="38"/>
        <v>#DIV/0!</v>
      </c>
      <c r="AM41" t="e">
        <f t="shared" si="39"/>
        <v>#DIV/0!</v>
      </c>
      <c r="AN41" t="e">
        <f t="shared" si="40"/>
        <v>#DIV/0!</v>
      </c>
      <c r="AO41" t="e">
        <f t="shared" si="41"/>
        <v>#DIV/0!</v>
      </c>
      <c r="AP41">
        <f t="shared" si="42"/>
        <v>1</v>
      </c>
    </row>
    <row r="42" spans="4:42" x14ac:dyDescent="0.25">
      <c r="D42">
        <f t="shared" si="12"/>
        <v>0.99997671806811828</v>
      </c>
      <c r="E42">
        <f t="shared" si="13"/>
        <v>0.93936133100801766</v>
      </c>
      <c r="F42">
        <f t="shared" si="14"/>
        <v>0.99997656829710502</v>
      </c>
      <c r="H42">
        <f t="shared" si="15"/>
        <v>0.98314698403975009</v>
      </c>
      <c r="I42">
        <f t="shared" si="16"/>
        <v>0.96354713472423315</v>
      </c>
      <c r="J42">
        <f t="shared" si="17"/>
        <v>0.98248096347146563</v>
      </c>
      <c r="L42">
        <f t="shared" si="18"/>
        <v>0.98711483101040443</v>
      </c>
      <c r="O42" t="e">
        <f t="shared" si="19"/>
        <v>#DIV/0!</v>
      </c>
      <c r="P42" t="e">
        <f t="shared" si="20"/>
        <v>#DIV/0!</v>
      </c>
      <c r="Q42" t="e">
        <f t="shared" si="21"/>
        <v>#DIV/0!</v>
      </c>
      <c r="S42" t="e">
        <f t="shared" si="22"/>
        <v>#DIV/0!</v>
      </c>
      <c r="T42" t="e">
        <f t="shared" si="23"/>
        <v>#DIV/0!</v>
      </c>
      <c r="V42">
        <f t="shared" si="24"/>
        <v>0</v>
      </c>
      <c r="W42">
        <f t="shared" si="25"/>
        <v>0.98867844944427341</v>
      </c>
      <c r="X42">
        <f t="shared" si="26"/>
        <v>1</v>
      </c>
      <c r="Y42">
        <f t="shared" si="27"/>
        <v>1</v>
      </c>
      <c r="Z42">
        <f t="shared" si="28"/>
        <v>0.96320528688135976</v>
      </c>
      <c r="AA42">
        <f t="shared" si="29"/>
        <v>0.79033146040410118</v>
      </c>
      <c r="AC42" t="e">
        <f t="shared" si="30"/>
        <v>#DIV/0!</v>
      </c>
      <c r="AD42">
        <f t="shared" si="31"/>
        <v>0.96671006446107521</v>
      </c>
      <c r="AE42">
        <f t="shared" si="32"/>
        <v>0.93167509822367633</v>
      </c>
      <c r="AF42">
        <f t="shared" si="33"/>
        <v>0.91305833383195945</v>
      </c>
      <c r="AG42">
        <f t="shared" si="34"/>
        <v>0.99631968564688833</v>
      </c>
      <c r="AH42">
        <f t="shared" si="35"/>
        <v>0.98356583695373534</v>
      </c>
      <c r="AI42">
        <f t="shared" si="36"/>
        <v>0.96541544433041337</v>
      </c>
      <c r="AK42" t="e">
        <f t="shared" si="37"/>
        <v>#DIV/0!</v>
      </c>
      <c r="AL42" t="e">
        <f t="shared" si="38"/>
        <v>#DIV/0!</v>
      </c>
      <c r="AM42" t="e">
        <f t="shared" si="39"/>
        <v>#DIV/0!</v>
      </c>
      <c r="AN42" t="e">
        <f t="shared" si="40"/>
        <v>#DIV/0!</v>
      </c>
      <c r="AO42" t="e">
        <f t="shared" si="41"/>
        <v>#DIV/0!</v>
      </c>
      <c r="AP42">
        <f t="shared" si="42"/>
        <v>0.94542053657130798</v>
      </c>
    </row>
    <row r="43" spans="4:42" x14ac:dyDescent="0.25">
      <c r="D43">
        <f t="shared" si="12"/>
        <v>0.99999252661099314</v>
      </c>
      <c r="E43">
        <f t="shared" si="13"/>
        <v>0.98053527668872809</v>
      </c>
      <c r="F43">
        <f t="shared" si="14"/>
        <v>0.99999247853521289</v>
      </c>
      <c r="H43">
        <f t="shared" si="15"/>
        <v>0.99459026231809133</v>
      </c>
      <c r="I43">
        <f t="shared" si="16"/>
        <v>0.98829880424008509</v>
      </c>
      <c r="J43">
        <f t="shared" si="17"/>
        <v>0.9943764728946628</v>
      </c>
      <c r="L43">
        <f t="shared" si="18"/>
        <v>0.99586392225669362</v>
      </c>
      <c r="O43" t="e">
        <f t="shared" si="19"/>
        <v>#DIV/0!</v>
      </c>
      <c r="P43" t="e">
        <f t="shared" si="20"/>
        <v>#DIV/0!</v>
      </c>
      <c r="Q43" t="e">
        <f t="shared" si="21"/>
        <v>#DIV/0!</v>
      </c>
      <c r="S43" t="e">
        <f t="shared" si="22"/>
        <v>#DIV/0!</v>
      </c>
      <c r="T43" t="e">
        <f t="shared" si="23"/>
        <v>#DIV/0!</v>
      </c>
      <c r="V43">
        <f t="shared" si="24"/>
        <v>0.11351248394243689</v>
      </c>
      <c r="W43">
        <f t="shared" si="25"/>
        <v>0.99636583631063991</v>
      </c>
      <c r="X43">
        <f t="shared" si="26"/>
        <v>1</v>
      </c>
      <c r="Y43">
        <f t="shared" si="27"/>
        <v>1</v>
      </c>
      <c r="Z43">
        <f t="shared" si="28"/>
        <v>0.97301086330847242</v>
      </c>
      <c r="AA43">
        <f t="shared" si="29"/>
        <v>0.93269739956112452</v>
      </c>
      <c r="AC43" t="e">
        <f t="shared" si="30"/>
        <v>#DIV/0!</v>
      </c>
      <c r="AD43">
        <f t="shared" si="31"/>
        <v>0.98931408958859368</v>
      </c>
      <c r="AE43">
        <f t="shared" si="32"/>
        <v>0.97806803265220399</v>
      </c>
      <c r="AF43">
        <f t="shared" si="33"/>
        <v>0.97209214014236323</v>
      </c>
      <c r="AG43">
        <f t="shared" si="34"/>
        <v>0.99881863665920345</v>
      </c>
      <c r="AH43">
        <f t="shared" si="35"/>
        <v>0.99472471210424873</v>
      </c>
      <c r="AI43">
        <f t="shared" si="36"/>
        <v>0.98889852270601808</v>
      </c>
      <c r="AK43" t="e">
        <f t="shared" si="37"/>
        <v>#DIV/0!</v>
      </c>
      <c r="AL43" t="e">
        <f t="shared" si="38"/>
        <v>#DIV/0!</v>
      </c>
      <c r="AM43" t="e">
        <f t="shared" si="39"/>
        <v>#DIV/0!</v>
      </c>
      <c r="AN43" t="e">
        <f t="shared" si="40"/>
        <v>#DIV/0!</v>
      </c>
      <c r="AO43" t="e">
        <f t="shared" si="41"/>
        <v>#DIV/0!</v>
      </c>
      <c r="AP43">
        <f t="shared" si="42"/>
        <v>0.98248025275327799</v>
      </c>
    </row>
    <row r="44" spans="4:42" x14ac:dyDescent="0.25">
      <c r="D44">
        <f>($D$26-D20)/($D$26-$D$25)</f>
        <v>0.99997671806811828</v>
      </c>
      <c r="E44">
        <f t="shared" si="13"/>
        <v>0.93936133100801766</v>
      </c>
      <c r="F44">
        <f t="shared" si="14"/>
        <v>0.99997656829710502</v>
      </c>
      <c r="H44">
        <f t="shared" si="15"/>
        <v>0.98314698403975009</v>
      </c>
      <c r="I44">
        <f t="shared" si="16"/>
        <v>0.96354713472423315</v>
      </c>
      <c r="J44">
        <f t="shared" si="17"/>
        <v>0.98248096347146563</v>
      </c>
      <c r="L44">
        <f t="shared" si="18"/>
        <v>0.98711483101040443</v>
      </c>
      <c r="O44" t="e">
        <f t="shared" si="19"/>
        <v>#DIV/0!</v>
      </c>
      <c r="P44" t="e">
        <f t="shared" si="20"/>
        <v>#DIV/0!</v>
      </c>
      <c r="Q44" t="e">
        <f t="shared" si="21"/>
        <v>#DIV/0!</v>
      </c>
      <c r="S44" t="e">
        <f t="shared" si="22"/>
        <v>#DIV/0!</v>
      </c>
      <c r="T44" t="e">
        <f t="shared" si="23"/>
        <v>#DIV/0!</v>
      </c>
      <c r="V44">
        <f t="shared" si="24"/>
        <v>0</v>
      </c>
      <c r="W44">
        <f t="shared" si="25"/>
        <v>0.98867844944427341</v>
      </c>
      <c r="X44">
        <f t="shared" si="26"/>
        <v>1</v>
      </c>
      <c r="Y44">
        <f t="shared" si="27"/>
        <v>1</v>
      </c>
      <c r="Z44">
        <f t="shared" si="28"/>
        <v>0.96320528688135976</v>
      </c>
      <c r="AA44">
        <f t="shared" si="29"/>
        <v>0.79033146040410118</v>
      </c>
      <c r="AC44" t="e">
        <f t="shared" si="30"/>
        <v>#DIV/0!</v>
      </c>
      <c r="AD44">
        <f t="shared" si="31"/>
        <v>0.96671006446107521</v>
      </c>
      <c r="AE44">
        <f t="shared" si="32"/>
        <v>0.93167509822367633</v>
      </c>
      <c r="AF44">
        <f t="shared" si="33"/>
        <v>0.91305833383195945</v>
      </c>
      <c r="AG44">
        <f t="shared" si="34"/>
        <v>0.99631968564688833</v>
      </c>
      <c r="AH44">
        <f t="shared" si="35"/>
        <v>0.98356583695373534</v>
      </c>
      <c r="AI44">
        <f t="shared" si="36"/>
        <v>0.96541544433041337</v>
      </c>
      <c r="AK44" t="e">
        <f t="shared" si="37"/>
        <v>#DIV/0!</v>
      </c>
      <c r="AL44" t="e">
        <f t="shared" si="38"/>
        <v>#DIV/0!</v>
      </c>
      <c r="AM44" t="e">
        <f t="shared" si="39"/>
        <v>#DIV/0!</v>
      </c>
      <c r="AN44" t="e">
        <f t="shared" si="40"/>
        <v>#DIV/0!</v>
      </c>
      <c r="AO44" t="e">
        <f t="shared" si="41"/>
        <v>#DIV/0!</v>
      </c>
      <c r="AP44">
        <f t="shared" si="42"/>
        <v>0.94542053657130798</v>
      </c>
    </row>
    <row r="45" spans="4:42" x14ac:dyDescent="0.25">
      <c r="D45">
        <f t="shared" si="12"/>
        <v>0.99999252661099314</v>
      </c>
      <c r="E45">
        <f t="shared" si="13"/>
        <v>0.98053527668872809</v>
      </c>
      <c r="F45">
        <f t="shared" si="14"/>
        <v>0.99999247853521289</v>
      </c>
      <c r="H45">
        <f t="shared" si="15"/>
        <v>0.99459026231809133</v>
      </c>
      <c r="I45">
        <f t="shared" si="16"/>
        <v>0.98829880424008509</v>
      </c>
      <c r="J45">
        <f t="shared" si="17"/>
        <v>0.9943764728946628</v>
      </c>
      <c r="L45">
        <f t="shared" si="18"/>
        <v>0.99586392225669362</v>
      </c>
      <c r="O45" t="e">
        <f t="shared" si="19"/>
        <v>#DIV/0!</v>
      </c>
      <c r="P45" t="e">
        <f t="shared" si="20"/>
        <v>#DIV/0!</v>
      </c>
      <c r="Q45" t="e">
        <f t="shared" si="21"/>
        <v>#DIV/0!</v>
      </c>
      <c r="S45" t="e">
        <f t="shared" si="22"/>
        <v>#DIV/0!</v>
      </c>
      <c r="T45" t="e">
        <f t="shared" si="23"/>
        <v>#DIV/0!</v>
      </c>
      <c r="V45">
        <f t="shared" si="24"/>
        <v>0.11351248394243689</v>
      </c>
      <c r="W45">
        <f t="shared" si="25"/>
        <v>0.99636583631063991</v>
      </c>
      <c r="X45">
        <f t="shared" si="26"/>
        <v>1</v>
      </c>
      <c r="Y45">
        <f t="shared" si="27"/>
        <v>1</v>
      </c>
      <c r="Z45">
        <f t="shared" si="28"/>
        <v>0.97301086330847242</v>
      </c>
      <c r="AA45">
        <f t="shared" si="29"/>
        <v>0.93269739956112452</v>
      </c>
      <c r="AC45" t="e">
        <f t="shared" si="30"/>
        <v>#DIV/0!</v>
      </c>
      <c r="AD45">
        <f t="shared" si="31"/>
        <v>0.98931408958859368</v>
      </c>
      <c r="AE45">
        <f t="shared" si="32"/>
        <v>0.97806803265220399</v>
      </c>
      <c r="AF45">
        <f t="shared" si="33"/>
        <v>0.97209214014236323</v>
      </c>
      <c r="AG45">
        <f t="shared" si="34"/>
        <v>0.99881863665920345</v>
      </c>
      <c r="AH45">
        <f t="shared" si="35"/>
        <v>0.99472471210424873</v>
      </c>
      <c r="AI45">
        <f t="shared" si="36"/>
        <v>0.98889852270601808</v>
      </c>
      <c r="AK45" t="e">
        <f t="shared" si="37"/>
        <v>#DIV/0!</v>
      </c>
      <c r="AL45" t="e">
        <f t="shared" si="38"/>
        <v>#DIV/0!</v>
      </c>
      <c r="AM45" t="e">
        <f t="shared" si="39"/>
        <v>#DIV/0!</v>
      </c>
      <c r="AN45" t="e">
        <f t="shared" si="40"/>
        <v>#DIV/0!</v>
      </c>
      <c r="AO45" t="e">
        <f t="shared" si="41"/>
        <v>#DIV/0!</v>
      </c>
      <c r="AP45">
        <f t="shared" si="42"/>
        <v>0.98248025275327799</v>
      </c>
    </row>
    <row r="46" spans="4:42" x14ac:dyDescent="0.25">
      <c r="D46">
        <f t="shared" si="12"/>
        <v>0.99997671806811828</v>
      </c>
      <c r="E46">
        <f t="shared" si="13"/>
        <v>0.93936133100801766</v>
      </c>
      <c r="F46">
        <f t="shared" si="14"/>
        <v>0.99997656829710502</v>
      </c>
      <c r="H46">
        <f t="shared" si="15"/>
        <v>0.98314698403975009</v>
      </c>
      <c r="I46">
        <f t="shared" si="16"/>
        <v>0.96354713472423315</v>
      </c>
      <c r="J46">
        <f t="shared" si="17"/>
        <v>0.98248096347146563</v>
      </c>
      <c r="L46">
        <f t="shared" si="18"/>
        <v>0.98711483101040443</v>
      </c>
      <c r="O46" t="e">
        <f t="shared" si="19"/>
        <v>#DIV/0!</v>
      </c>
      <c r="P46" t="e">
        <f t="shared" si="20"/>
        <v>#DIV/0!</v>
      </c>
      <c r="Q46" t="e">
        <f t="shared" si="21"/>
        <v>#DIV/0!</v>
      </c>
      <c r="S46" t="e">
        <f t="shared" si="22"/>
        <v>#DIV/0!</v>
      </c>
      <c r="T46" t="e">
        <f t="shared" si="23"/>
        <v>#DIV/0!</v>
      </c>
      <c r="V46">
        <f t="shared" si="24"/>
        <v>0</v>
      </c>
      <c r="W46">
        <f t="shared" si="25"/>
        <v>0.98867844944427341</v>
      </c>
      <c r="X46">
        <f t="shared" si="26"/>
        <v>0</v>
      </c>
      <c r="Y46">
        <f t="shared" si="27"/>
        <v>1</v>
      </c>
      <c r="Z46">
        <f t="shared" si="28"/>
        <v>0.96320528688135976</v>
      </c>
      <c r="AA46">
        <f t="shared" si="29"/>
        <v>0.79033146040410118</v>
      </c>
      <c r="AC46" t="e">
        <f t="shared" si="30"/>
        <v>#DIV/0!</v>
      </c>
      <c r="AD46">
        <f t="shared" si="31"/>
        <v>0.96671006446107521</v>
      </c>
      <c r="AE46">
        <f t="shared" si="32"/>
        <v>0.93167509822367633</v>
      </c>
      <c r="AF46">
        <f t="shared" si="33"/>
        <v>0.91305833383195945</v>
      </c>
      <c r="AG46">
        <f t="shared" si="34"/>
        <v>0.99631968564688833</v>
      </c>
      <c r="AH46">
        <f t="shared" si="35"/>
        <v>0.98356583695373534</v>
      </c>
      <c r="AI46">
        <f t="shared" si="36"/>
        <v>0.96541544433041337</v>
      </c>
      <c r="AK46" t="e">
        <f t="shared" si="37"/>
        <v>#DIV/0!</v>
      </c>
      <c r="AL46" t="e">
        <f t="shared" si="38"/>
        <v>#DIV/0!</v>
      </c>
      <c r="AM46" t="e">
        <f t="shared" si="39"/>
        <v>#DIV/0!</v>
      </c>
      <c r="AN46" t="e">
        <f t="shared" si="40"/>
        <v>#DIV/0!</v>
      </c>
      <c r="AO46" t="e">
        <f t="shared" si="41"/>
        <v>#DIV/0!</v>
      </c>
      <c r="AP46">
        <f t="shared" si="42"/>
        <v>0.94542053657130798</v>
      </c>
    </row>
    <row r="49" spans="3:42" x14ac:dyDescent="0.25">
      <c r="C49" s="3">
        <f>AVERAGE(D49:F49)</f>
        <v>5.666666666666667</v>
      </c>
      <c r="D49">
        <f>100*ROUND(D29,2)</f>
        <v>5</v>
      </c>
      <c r="E49">
        <f t="shared" ref="E49:F49" si="43">100*ROUND(E29,2)</f>
        <v>7.0000000000000009</v>
      </c>
      <c r="F49">
        <f t="shared" si="43"/>
        <v>5</v>
      </c>
      <c r="G49" s="3">
        <f>AVERAGE(H49:J49)</f>
        <v>6</v>
      </c>
      <c r="H49">
        <f>100*ROUND(H29,2)</f>
        <v>6</v>
      </c>
      <c r="I49">
        <f t="shared" ref="I49:L49" si="44">100*ROUND(I29,2)</f>
        <v>6</v>
      </c>
      <c r="J49">
        <f t="shared" si="44"/>
        <v>6</v>
      </c>
      <c r="K49" s="2">
        <f>AVERAGE(L49)</f>
        <v>6</v>
      </c>
      <c r="L49">
        <f t="shared" si="44"/>
        <v>6</v>
      </c>
      <c r="N49" s="6"/>
      <c r="O49" t="e">
        <f>100*ROUND(O29,2)</f>
        <v>#DIV/0!</v>
      </c>
      <c r="P49" t="e">
        <f t="shared" ref="P49:Q49" si="45">100*ROUND(P29,2)</f>
        <v>#DIV/0!</v>
      </c>
      <c r="Q49" t="e">
        <f t="shared" si="45"/>
        <v>#DIV/0!</v>
      </c>
      <c r="R49" s="6"/>
      <c r="S49" t="e">
        <f>100*ROUND(S29,2)</f>
        <v>#DIV/0!</v>
      </c>
      <c r="T49" t="e">
        <f>100*ROUND(T29,2)</f>
        <v>#DIV/0!</v>
      </c>
      <c r="U49" s="3">
        <f>AVERAGE(V49:AA49)</f>
        <v>20.666666666666668</v>
      </c>
      <c r="V49">
        <f>100*ROUND(V29,2)</f>
        <v>98</v>
      </c>
      <c r="W49">
        <f t="shared" ref="W49:AA49" si="46">100*ROUND(W29,2)</f>
        <v>6</v>
      </c>
      <c r="X49">
        <f t="shared" si="46"/>
        <v>0</v>
      </c>
      <c r="Y49">
        <f t="shared" si="46"/>
        <v>0</v>
      </c>
      <c r="Z49">
        <f t="shared" si="46"/>
        <v>8</v>
      </c>
      <c r="AA49">
        <f t="shared" si="46"/>
        <v>12</v>
      </c>
      <c r="AB49" s="3">
        <f>AVERAGE(AD49:AI49)</f>
        <v>6.333333333333333</v>
      </c>
      <c r="AC49" t="e">
        <f>100*ROUND(AC29,2)</f>
        <v>#DIV/0!</v>
      </c>
      <c r="AD49">
        <f t="shared" ref="AD49:AI49" si="47">100*ROUND(AD29,2)</f>
        <v>6</v>
      </c>
      <c r="AE49">
        <f t="shared" si="47"/>
        <v>7.0000000000000009</v>
      </c>
      <c r="AF49">
        <f t="shared" si="47"/>
        <v>8</v>
      </c>
      <c r="AG49">
        <f t="shared" si="47"/>
        <v>5</v>
      </c>
      <c r="AH49">
        <f t="shared" si="47"/>
        <v>6</v>
      </c>
      <c r="AI49">
        <f t="shared" si="47"/>
        <v>6</v>
      </c>
      <c r="AJ49" s="2">
        <f>AVERAGE(AP49)</f>
        <v>7.0000000000000009</v>
      </c>
      <c r="AK49" t="e">
        <f>100*ROUND(AK29,2)</f>
        <v>#DIV/0!</v>
      </c>
      <c r="AL49" t="e">
        <f t="shared" ref="AL49:AP49" si="48">100*ROUND(AL29,2)</f>
        <v>#DIV/0!</v>
      </c>
      <c r="AM49" t="e">
        <f t="shared" si="48"/>
        <v>#DIV/0!</v>
      </c>
      <c r="AN49" t="e">
        <f t="shared" si="48"/>
        <v>#DIV/0!</v>
      </c>
      <c r="AO49" t="e">
        <f t="shared" si="48"/>
        <v>#DIV/0!</v>
      </c>
      <c r="AP49">
        <f t="shared" si="48"/>
        <v>7.0000000000000009</v>
      </c>
    </row>
    <row r="50" spans="3:42" x14ac:dyDescent="0.25">
      <c r="C50" s="3">
        <f t="shared" ref="C50:C66" si="49">AVERAGE(D50:F50)</f>
        <v>16.666666666666668</v>
      </c>
      <c r="D50">
        <f t="shared" ref="D50:F65" si="50">100*ROUND(D30,2)</f>
        <v>15</v>
      </c>
      <c r="E50">
        <f t="shared" si="50"/>
        <v>20</v>
      </c>
      <c r="F50">
        <f t="shared" si="50"/>
        <v>15</v>
      </c>
      <c r="G50" s="3">
        <f t="shared" ref="G50:G66" si="51">AVERAGE(H50:J50)</f>
        <v>16.666666666666668</v>
      </c>
      <c r="H50">
        <f t="shared" ref="H50:J66" si="52">100*ROUND(H30,2)</f>
        <v>16</v>
      </c>
      <c r="I50">
        <f t="shared" si="52"/>
        <v>18</v>
      </c>
      <c r="J50">
        <f t="shared" si="52"/>
        <v>16</v>
      </c>
      <c r="K50" s="2">
        <f t="shared" ref="K50:K66" si="53">AVERAGE(L50)</f>
        <v>16</v>
      </c>
      <c r="L50">
        <f t="shared" ref="L50" si="54">100*ROUND(L30,2)</f>
        <v>16</v>
      </c>
      <c r="N50" s="6"/>
      <c r="O50" t="e">
        <f t="shared" ref="O50:Q50" si="55">100*ROUND(O30,2)</f>
        <v>#DIV/0!</v>
      </c>
      <c r="P50" t="e">
        <f t="shared" si="55"/>
        <v>#DIV/0!</v>
      </c>
      <c r="Q50" t="e">
        <f t="shared" si="55"/>
        <v>#DIV/0!</v>
      </c>
      <c r="R50" s="6"/>
      <c r="S50" t="e">
        <f t="shared" ref="S50:T50" si="56">100*ROUND(S30,2)</f>
        <v>#DIV/0!</v>
      </c>
      <c r="T50" t="e">
        <f t="shared" si="56"/>
        <v>#DIV/0!</v>
      </c>
      <c r="U50" s="3">
        <f t="shared" ref="U50:U66" si="57">AVERAGE(V50:AA50)</f>
        <v>28.333333333333332</v>
      </c>
      <c r="V50">
        <f t="shared" ref="V50:AA66" si="58">100*ROUND(V30,2)</f>
        <v>100</v>
      </c>
      <c r="W50">
        <f t="shared" si="58"/>
        <v>16</v>
      </c>
      <c r="X50">
        <f t="shared" si="58"/>
        <v>0</v>
      </c>
      <c r="Y50">
        <f t="shared" si="58"/>
        <v>0</v>
      </c>
      <c r="Z50">
        <f t="shared" si="58"/>
        <v>21</v>
      </c>
      <c r="AA50">
        <f t="shared" si="58"/>
        <v>33</v>
      </c>
      <c r="AB50" s="3">
        <f t="shared" ref="AB50:AB66" si="59">AVERAGE(AD50:AI50)</f>
        <v>18.333333333333332</v>
      </c>
      <c r="AC50" t="e">
        <f t="shared" ref="AC50:AI66" si="60">100*ROUND(AC30,2)</f>
        <v>#DIV/0!</v>
      </c>
      <c r="AD50">
        <f t="shared" si="60"/>
        <v>18</v>
      </c>
      <c r="AE50">
        <f t="shared" si="60"/>
        <v>21</v>
      </c>
      <c r="AF50">
        <f t="shared" si="60"/>
        <v>22</v>
      </c>
      <c r="AG50">
        <f t="shared" si="60"/>
        <v>15</v>
      </c>
      <c r="AH50">
        <f t="shared" si="60"/>
        <v>16</v>
      </c>
      <c r="AI50">
        <f t="shared" si="60"/>
        <v>18</v>
      </c>
      <c r="AJ50" s="2">
        <f t="shared" ref="AJ50:AJ66" si="61">AVERAGE(AP50)</f>
        <v>19</v>
      </c>
      <c r="AK50" t="e">
        <f t="shared" ref="AK50:AP50" si="62">100*ROUND(AK30,2)</f>
        <v>#DIV/0!</v>
      </c>
      <c r="AL50" t="e">
        <f t="shared" si="62"/>
        <v>#DIV/0!</v>
      </c>
      <c r="AM50" t="e">
        <f t="shared" si="62"/>
        <v>#DIV/0!</v>
      </c>
      <c r="AN50" t="e">
        <f t="shared" si="62"/>
        <v>#DIV/0!</v>
      </c>
      <c r="AO50" t="e">
        <f t="shared" si="62"/>
        <v>#DIV/0!</v>
      </c>
      <c r="AP50">
        <f t="shared" si="62"/>
        <v>19</v>
      </c>
    </row>
    <row r="51" spans="3:42" x14ac:dyDescent="0.25">
      <c r="C51" s="3">
        <f t="shared" si="49"/>
        <v>5.666666666666667</v>
      </c>
      <c r="D51">
        <f t="shared" si="50"/>
        <v>5</v>
      </c>
      <c r="E51">
        <f t="shared" si="50"/>
        <v>7.0000000000000009</v>
      </c>
      <c r="F51">
        <f t="shared" si="50"/>
        <v>5</v>
      </c>
      <c r="G51" s="3">
        <f t="shared" si="51"/>
        <v>6</v>
      </c>
      <c r="H51">
        <f t="shared" si="52"/>
        <v>6</v>
      </c>
      <c r="I51">
        <f t="shared" si="52"/>
        <v>6</v>
      </c>
      <c r="J51">
        <f t="shared" si="52"/>
        <v>6</v>
      </c>
      <c r="K51" s="2">
        <f t="shared" si="53"/>
        <v>6</v>
      </c>
      <c r="L51">
        <f t="shared" ref="L51" si="63">100*ROUND(L31,2)</f>
        <v>6</v>
      </c>
      <c r="N51" s="6"/>
      <c r="O51" t="e">
        <f t="shared" ref="O51:Q51" si="64">100*ROUND(O31,2)</f>
        <v>#DIV/0!</v>
      </c>
      <c r="P51" t="e">
        <f t="shared" si="64"/>
        <v>#DIV/0!</v>
      </c>
      <c r="Q51" t="e">
        <f t="shared" si="64"/>
        <v>#DIV/0!</v>
      </c>
      <c r="R51" s="6"/>
      <c r="S51" t="e">
        <f t="shared" ref="S51:T51" si="65">100*ROUND(S31,2)</f>
        <v>#DIV/0!</v>
      </c>
      <c r="T51" t="e">
        <f t="shared" si="65"/>
        <v>#DIV/0!</v>
      </c>
      <c r="U51" s="3">
        <f t="shared" si="57"/>
        <v>20.666666666666668</v>
      </c>
      <c r="V51">
        <f t="shared" si="58"/>
        <v>98</v>
      </c>
      <c r="W51">
        <f t="shared" si="58"/>
        <v>6</v>
      </c>
      <c r="X51">
        <f t="shared" si="58"/>
        <v>0</v>
      </c>
      <c r="Y51">
        <f t="shared" si="58"/>
        <v>0</v>
      </c>
      <c r="Z51">
        <f t="shared" si="58"/>
        <v>8</v>
      </c>
      <c r="AA51">
        <f t="shared" si="58"/>
        <v>12</v>
      </c>
      <c r="AB51" s="3">
        <f t="shared" si="59"/>
        <v>6.333333333333333</v>
      </c>
      <c r="AC51" t="e">
        <f t="shared" si="60"/>
        <v>#DIV/0!</v>
      </c>
      <c r="AD51">
        <f t="shared" si="60"/>
        <v>6</v>
      </c>
      <c r="AE51">
        <f t="shared" si="60"/>
        <v>7.0000000000000009</v>
      </c>
      <c r="AF51">
        <f t="shared" si="60"/>
        <v>8</v>
      </c>
      <c r="AG51">
        <f t="shared" si="60"/>
        <v>5</v>
      </c>
      <c r="AH51">
        <f t="shared" si="60"/>
        <v>6</v>
      </c>
      <c r="AI51">
        <f t="shared" si="60"/>
        <v>6</v>
      </c>
      <c r="AJ51" s="2">
        <f t="shared" si="61"/>
        <v>7.0000000000000009</v>
      </c>
      <c r="AK51" t="e">
        <f t="shared" ref="AK51:AP51" si="66">100*ROUND(AK31,2)</f>
        <v>#DIV/0!</v>
      </c>
      <c r="AL51" t="e">
        <f t="shared" si="66"/>
        <v>#DIV/0!</v>
      </c>
      <c r="AM51" t="e">
        <f t="shared" si="66"/>
        <v>#DIV/0!</v>
      </c>
      <c r="AN51" t="e">
        <f t="shared" si="66"/>
        <v>#DIV/0!</v>
      </c>
      <c r="AO51" t="e">
        <f t="shared" si="66"/>
        <v>#DIV/0!</v>
      </c>
      <c r="AP51">
        <f t="shared" si="66"/>
        <v>7.0000000000000009</v>
      </c>
    </row>
    <row r="52" spans="3:42" x14ac:dyDescent="0.25">
      <c r="C52" s="3">
        <f t="shared" si="49"/>
        <v>16.666666666666668</v>
      </c>
      <c r="D52">
        <f t="shared" si="50"/>
        <v>15</v>
      </c>
      <c r="E52">
        <f t="shared" si="50"/>
        <v>20</v>
      </c>
      <c r="F52">
        <f t="shared" si="50"/>
        <v>15</v>
      </c>
      <c r="G52" s="3">
        <f t="shared" si="51"/>
        <v>16.666666666666668</v>
      </c>
      <c r="H52">
        <f t="shared" si="52"/>
        <v>16</v>
      </c>
      <c r="I52">
        <f t="shared" si="52"/>
        <v>18</v>
      </c>
      <c r="J52">
        <f t="shared" si="52"/>
        <v>16</v>
      </c>
      <c r="K52" s="2">
        <f t="shared" si="53"/>
        <v>16</v>
      </c>
      <c r="L52">
        <f t="shared" ref="L52" si="67">100*ROUND(L32,2)</f>
        <v>16</v>
      </c>
      <c r="N52" s="6"/>
      <c r="O52" t="e">
        <f t="shared" ref="O52:Q52" si="68">100*ROUND(O32,2)</f>
        <v>#DIV/0!</v>
      </c>
      <c r="P52" t="e">
        <f t="shared" si="68"/>
        <v>#DIV/0!</v>
      </c>
      <c r="Q52" t="e">
        <f t="shared" si="68"/>
        <v>#DIV/0!</v>
      </c>
      <c r="R52" s="6"/>
      <c r="S52" t="e">
        <f t="shared" ref="S52:T52" si="69">100*ROUND(S32,2)</f>
        <v>#DIV/0!</v>
      </c>
      <c r="T52" t="e">
        <f t="shared" si="69"/>
        <v>#DIV/0!</v>
      </c>
      <c r="U52" s="3">
        <f t="shared" si="57"/>
        <v>28.333333333333332</v>
      </c>
      <c r="V52">
        <f t="shared" si="58"/>
        <v>100</v>
      </c>
      <c r="W52">
        <f t="shared" si="58"/>
        <v>16</v>
      </c>
      <c r="X52">
        <f t="shared" si="58"/>
        <v>0</v>
      </c>
      <c r="Y52">
        <f t="shared" si="58"/>
        <v>0</v>
      </c>
      <c r="Z52">
        <f t="shared" si="58"/>
        <v>21</v>
      </c>
      <c r="AA52">
        <f t="shared" si="58"/>
        <v>33</v>
      </c>
      <c r="AB52" s="3">
        <f t="shared" si="59"/>
        <v>18.333333333333332</v>
      </c>
      <c r="AC52" t="e">
        <f t="shared" si="60"/>
        <v>#DIV/0!</v>
      </c>
      <c r="AD52">
        <f t="shared" si="60"/>
        <v>18</v>
      </c>
      <c r="AE52">
        <f t="shared" si="60"/>
        <v>21</v>
      </c>
      <c r="AF52">
        <f t="shared" si="60"/>
        <v>22</v>
      </c>
      <c r="AG52">
        <f t="shared" si="60"/>
        <v>15</v>
      </c>
      <c r="AH52">
        <f t="shared" si="60"/>
        <v>16</v>
      </c>
      <c r="AI52">
        <f t="shared" si="60"/>
        <v>18</v>
      </c>
      <c r="AJ52" s="2">
        <f t="shared" si="61"/>
        <v>19</v>
      </c>
      <c r="AK52" t="e">
        <f t="shared" ref="AK52:AP52" si="70">100*ROUND(AK32,2)</f>
        <v>#DIV/0!</v>
      </c>
      <c r="AL52" t="e">
        <f t="shared" si="70"/>
        <v>#DIV/0!</v>
      </c>
      <c r="AM52" t="e">
        <f t="shared" si="70"/>
        <v>#DIV/0!</v>
      </c>
      <c r="AN52" t="e">
        <f t="shared" si="70"/>
        <v>#DIV/0!</v>
      </c>
      <c r="AO52" t="e">
        <f t="shared" si="70"/>
        <v>#DIV/0!</v>
      </c>
      <c r="AP52">
        <f t="shared" si="70"/>
        <v>19</v>
      </c>
    </row>
    <row r="53" spans="3:42" x14ac:dyDescent="0.25">
      <c r="C53" s="3">
        <f t="shared" si="49"/>
        <v>0</v>
      </c>
      <c r="D53">
        <f t="shared" si="50"/>
        <v>0</v>
      </c>
      <c r="E53">
        <f t="shared" si="50"/>
        <v>0</v>
      </c>
      <c r="F53">
        <f t="shared" si="50"/>
        <v>0</v>
      </c>
      <c r="G53" s="3">
        <f t="shared" si="51"/>
        <v>0</v>
      </c>
      <c r="H53">
        <f t="shared" si="52"/>
        <v>0</v>
      </c>
      <c r="I53">
        <f t="shared" si="52"/>
        <v>0</v>
      </c>
      <c r="J53">
        <f t="shared" si="52"/>
        <v>0</v>
      </c>
      <c r="K53" s="2">
        <f t="shared" si="53"/>
        <v>0</v>
      </c>
      <c r="L53">
        <f t="shared" ref="L53" si="71">100*ROUND(L33,2)</f>
        <v>0</v>
      </c>
      <c r="N53" s="6"/>
      <c r="O53" t="e">
        <f t="shared" ref="O53:Q53" si="72">100*ROUND(O33,2)</f>
        <v>#DIV/0!</v>
      </c>
      <c r="P53" t="e">
        <f t="shared" si="72"/>
        <v>#DIV/0!</v>
      </c>
      <c r="Q53" t="e">
        <f t="shared" si="72"/>
        <v>#DIV/0!</v>
      </c>
      <c r="R53" s="6"/>
      <c r="S53" t="e">
        <f t="shared" ref="S53:T53" si="73">100*ROUND(S33,2)</f>
        <v>#DIV/0!</v>
      </c>
      <c r="T53" t="e">
        <f t="shared" si="73"/>
        <v>#DIV/0!</v>
      </c>
      <c r="U53" s="3">
        <f t="shared" si="57"/>
        <v>33.333333333333336</v>
      </c>
      <c r="V53">
        <f t="shared" si="58"/>
        <v>98</v>
      </c>
      <c r="W53">
        <f t="shared" si="58"/>
        <v>0</v>
      </c>
      <c r="X53">
        <f t="shared" si="58"/>
        <v>100</v>
      </c>
      <c r="Y53">
        <f t="shared" si="58"/>
        <v>2</v>
      </c>
      <c r="Z53">
        <f t="shared" si="58"/>
        <v>0</v>
      </c>
      <c r="AA53">
        <f t="shared" si="58"/>
        <v>0</v>
      </c>
      <c r="AB53" s="3">
        <f t="shared" si="59"/>
        <v>0</v>
      </c>
      <c r="AC53" t="e">
        <f t="shared" si="60"/>
        <v>#DIV/0!</v>
      </c>
      <c r="AD53">
        <f t="shared" si="60"/>
        <v>0</v>
      </c>
      <c r="AE53">
        <f t="shared" si="60"/>
        <v>0</v>
      </c>
      <c r="AF53">
        <f t="shared" si="60"/>
        <v>0</v>
      </c>
      <c r="AG53">
        <f t="shared" si="60"/>
        <v>0</v>
      </c>
      <c r="AH53">
        <f t="shared" si="60"/>
        <v>0</v>
      </c>
      <c r="AI53">
        <f t="shared" si="60"/>
        <v>0</v>
      </c>
      <c r="AJ53" s="2">
        <f t="shared" si="61"/>
        <v>0</v>
      </c>
      <c r="AK53" t="e">
        <f t="shared" ref="AK53:AP53" si="74">100*ROUND(AK33,2)</f>
        <v>#DIV/0!</v>
      </c>
      <c r="AL53" t="e">
        <f t="shared" si="74"/>
        <v>#DIV/0!</v>
      </c>
      <c r="AM53" t="e">
        <f t="shared" si="74"/>
        <v>#DIV/0!</v>
      </c>
      <c r="AN53" t="e">
        <f t="shared" si="74"/>
        <v>#DIV/0!</v>
      </c>
      <c r="AO53" t="e">
        <f t="shared" si="74"/>
        <v>#DIV/0!</v>
      </c>
      <c r="AP53">
        <f t="shared" si="74"/>
        <v>0</v>
      </c>
    </row>
    <row r="54" spans="3:42" x14ac:dyDescent="0.25">
      <c r="C54" s="3">
        <f t="shared" si="49"/>
        <v>11.333333333333334</v>
      </c>
      <c r="D54">
        <f t="shared" si="50"/>
        <v>10</v>
      </c>
      <c r="E54">
        <f t="shared" si="50"/>
        <v>14.000000000000002</v>
      </c>
      <c r="F54">
        <f t="shared" si="50"/>
        <v>10</v>
      </c>
      <c r="G54" s="3">
        <f t="shared" si="51"/>
        <v>11.333333333333334</v>
      </c>
      <c r="H54">
        <f t="shared" si="52"/>
        <v>11</v>
      </c>
      <c r="I54">
        <f t="shared" si="52"/>
        <v>12</v>
      </c>
      <c r="J54">
        <f t="shared" si="52"/>
        <v>11</v>
      </c>
      <c r="K54" s="2">
        <f t="shared" si="53"/>
        <v>11</v>
      </c>
      <c r="L54">
        <f t="shared" ref="L54" si="75">100*ROUND(L34,2)</f>
        <v>11</v>
      </c>
      <c r="N54" s="6"/>
      <c r="O54" t="e">
        <f t="shared" ref="O54:Q54" si="76">100*ROUND(O34,2)</f>
        <v>#DIV/0!</v>
      </c>
      <c r="P54" t="e">
        <f t="shared" si="76"/>
        <v>#DIV/0!</v>
      </c>
      <c r="Q54" t="e">
        <f t="shared" si="76"/>
        <v>#DIV/0!</v>
      </c>
      <c r="R54" s="6"/>
      <c r="S54" t="e">
        <f t="shared" ref="S54:T54" si="77">100*ROUND(S34,2)</f>
        <v>#DIV/0!</v>
      </c>
      <c r="T54" t="e">
        <f t="shared" si="77"/>
        <v>#DIV/0!</v>
      </c>
      <c r="U54" s="3">
        <f t="shared" si="57"/>
        <v>41.333333333333336</v>
      </c>
      <c r="V54">
        <f t="shared" si="58"/>
        <v>99</v>
      </c>
      <c r="W54">
        <f t="shared" si="58"/>
        <v>11</v>
      </c>
      <c r="X54">
        <f t="shared" si="58"/>
        <v>100</v>
      </c>
      <c r="Y54">
        <f t="shared" si="58"/>
        <v>2</v>
      </c>
      <c r="Z54">
        <f t="shared" si="58"/>
        <v>14.000000000000002</v>
      </c>
      <c r="AA54">
        <f t="shared" si="58"/>
        <v>22</v>
      </c>
      <c r="AB54" s="3">
        <f t="shared" si="59"/>
        <v>12.333333333333334</v>
      </c>
      <c r="AC54" t="e">
        <f t="shared" si="60"/>
        <v>#DIV/0!</v>
      </c>
      <c r="AD54">
        <f t="shared" si="60"/>
        <v>12</v>
      </c>
      <c r="AE54">
        <f t="shared" si="60"/>
        <v>14.000000000000002</v>
      </c>
      <c r="AF54">
        <f t="shared" si="60"/>
        <v>15</v>
      </c>
      <c r="AG54">
        <f t="shared" si="60"/>
        <v>10</v>
      </c>
      <c r="AH54">
        <f t="shared" si="60"/>
        <v>11</v>
      </c>
      <c r="AI54">
        <f t="shared" si="60"/>
        <v>12</v>
      </c>
      <c r="AJ54" s="2">
        <f t="shared" si="61"/>
        <v>13</v>
      </c>
      <c r="AK54" t="e">
        <f t="shared" ref="AK54:AP54" si="78">100*ROUND(AK34,2)</f>
        <v>#DIV/0!</v>
      </c>
      <c r="AL54" t="e">
        <f t="shared" si="78"/>
        <v>#DIV/0!</v>
      </c>
      <c r="AM54" t="e">
        <f t="shared" si="78"/>
        <v>#DIV/0!</v>
      </c>
      <c r="AN54" t="e">
        <f t="shared" si="78"/>
        <v>#DIV/0!</v>
      </c>
      <c r="AO54" t="e">
        <f t="shared" si="78"/>
        <v>#DIV/0!</v>
      </c>
      <c r="AP54">
        <f t="shared" si="78"/>
        <v>13</v>
      </c>
    </row>
    <row r="55" spans="3:42" x14ac:dyDescent="0.25">
      <c r="C55" s="3">
        <f t="shared" si="49"/>
        <v>0</v>
      </c>
      <c r="D55">
        <f t="shared" si="50"/>
        <v>0</v>
      </c>
      <c r="E55">
        <f t="shared" si="50"/>
        <v>0</v>
      </c>
      <c r="F55">
        <f t="shared" si="50"/>
        <v>0</v>
      </c>
      <c r="G55" s="3">
        <f t="shared" si="51"/>
        <v>0</v>
      </c>
      <c r="H55">
        <f t="shared" si="52"/>
        <v>0</v>
      </c>
      <c r="I55">
        <f t="shared" si="52"/>
        <v>0</v>
      </c>
      <c r="J55">
        <f t="shared" si="52"/>
        <v>0</v>
      </c>
      <c r="K55" s="2">
        <f t="shared" si="53"/>
        <v>0</v>
      </c>
      <c r="L55">
        <f t="shared" ref="L55" si="79">100*ROUND(L35,2)</f>
        <v>0</v>
      </c>
      <c r="N55" s="6"/>
      <c r="O55" t="e">
        <f t="shared" ref="O55:Q55" si="80">100*ROUND(O35,2)</f>
        <v>#DIV/0!</v>
      </c>
      <c r="P55" t="e">
        <f t="shared" si="80"/>
        <v>#DIV/0!</v>
      </c>
      <c r="Q55" t="e">
        <f t="shared" si="80"/>
        <v>#DIV/0!</v>
      </c>
      <c r="R55" s="6"/>
      <c r="S55" t="e">
        <f t="shared" ref="S55:T55" si="81">100*ROUND(S35,2)</f>
        <v>#DIV/0!</v>
      </c>
      <c r="T55" t="e">
        <f t="shared" si="81"/>
        <v>#DIV/0!</v>
      </c>
      <c r="U55" s="3">
        <f t="shared" si="57"/>
        <v>33.333333333333336</v>
      </c>
      <c r="V55">
        <f t="shared" si="58"/>
        <v>98</v>
      </c>
      <c r="W55">
        <f t="shared" si="58"/>
        <v>0</v>
      </c>
      <c r="X55">
        <f t="shared" si="58"/>
        <v>100</v>
      </c>
      <c r="Y55">
        <f t="shared" si="58"/>
        <v>2</v>
      </c>
      <c r="Z55">
        <f t="shared" si="58"/>
        <v>0</v>
      </c>
      <c r="AA55">
        <f t="shared" si="58"/>
        <v>0</v>
      </c>
      <c r="AB55" s="3">
        <f t="shared" si="59"/>
        <v>0</v>
      </c>
      <c r="AC55" t="e">
        <f t="shared" si="60"/>
        <v>#DIV/0!</v>
      </c>
      <c r="AD55">
        <f t="shared" si="60"/>
        <v>0</v>
      </c>
      <c r="AE55">
        <f t="shared" si="60"/>
        <v>0</v>
      </c>
      <c r="AF55">
        <f t="shared" si="60"/>
        <v>0</v>
      </c>
      <c r="AG55">
        <f t="shared" si="60"/>
        <v>0</v>
      </c>
      <c r="AH55">
        <f t="shared" si="60"/>
        <v>0</v>
      </c>
      <c r="AI55">
        <f t="shared" si="60"/>
        <v>0</v>
      </c>
      <c r="AJ55" s="2">
        <f t="shared" si="61"/>
        <v>0</v>
      </c>
      <c r="AK55" t="e">
        <f t="shared" ref="AK55:AP55" si="82">100*ROUND(AK35,2)</f>
        <v>#DIV/0!</v>
      </c>
      <c r="AL55" t="e">
        <f t="shared" si="82"/>
        <v>#DIV/0!</v>
      </c>
      <c r="AM55" t="e">
        <f t="shared" si="82"/>
        <v>#DIV/0!</v>
      </c>
      <c r="AN55" t="e">
        <f t="shared" si="82"/>
        <v>#DIV/0!</v>
      </c>
      <c r="AO55" t="e">
        <f t="shared" si="82"/>
        <v>#DIV/0!</v>
      </c>
      <c r="AP55">
        <f t="shared" si="82"/>
        <v>0</v>
      </c>
    </row>
    <row r="56" spans="3:42" x14ac:dyDescent="0.25">
      <c r="C56" s="3">
        <f t="shared" si="49"/>
        <v>11.333333333333334</v>
      </c>
      <c r="D56">
        <f t="shared" si="50"/>
        <v>10</v>
      </c>
      <c r="E56">
        <f t="shared" si="50"/>
        <v>14.000000000000002</v>
      </c>
      <c r="F56">
        <f t="shared" si="50"/>
        <v>10</v>
      </c>
      <c r="G56" s="3">
        <f t="shared" si="51"/>
        <v>11.333333333333334</v>
      </c>
      <c r="H56">
        <f t="shared" si="52"/>
        <v>11</v>
      </c>
      <c r="I56">
        <f t="shared" si="52"/>
        <v>12</v>
      </c>
      <c r="J56">
        <f t="shared" si="52"/>
        <v>11</v>
      </c>
      <c r="K56" s="2">
        <f t="shared" si="53"/>
        <v>11</v>
      </c>
      <c r="L56">
        <f t="shared" ref="L56" si="83">100*ROUND(L36,2)</f>
        <v>11</v>
      </c>
      <c r="N56" s="6"/>
      <c r="O56" t="e">
        <f t="shared" ref="O56:Q56" si="84">100*ROUND(O36,2)</f>
        <v>#DIV/0!</v>
      </c>
      <c r="P56" t="e">
        <f t="shared" si="84"/>
        <v>#DIV/0!</v>
      </c>
      <c r="Q56" t="e">
        <f t="shared" si="84"/>
        <v>#DIV/0!</v>
      </c>
      <c r="R56" s="6"/>
      <c r="S56" t="e">
        <f t="shared" ref="S56:T56" si="85">100*ROUND(S36,2)</f>
        <v>#DIV/0!</v>
      </c>
      <c r="T56" t="e">
        <f t="shared" si="85"/>
        <v>#DIV/0!</v>
      </c>
      <c r="U56" s="3">
        <f t="shared" si="57"/>
        <v>41.333333333333336</v>
      </c>
      <c r="V56">
        <f t="shared" si="58"/>
        <v>99</v>
      </c>
      <c r="W56">
        <f t="shared" si="58"/>
        <v>11</v>
      </c>
      <c r="X56">
        <f t="shared" si="58"/>
        <v>100</v>
      </c>
      <c r="Y56">
        <f t="shared" si="58"/>
        <v>2</v>
      </c>
      <c r="Z56">
        <f t="shared" si="58"/>
        <v>14.000000000000002</v>
      </c>
      <c r="AA56">
        <f t="shared" si="58"/>
        <v>22</v>
      </c>
      <c r="AB56" s="3">
        <f t="shared" si="59"/>
        <v>12.333333333333334</v>
      </c>
      <c r="AC56" t="e">
        <f t="shared" si="60"/>
        <v>#DIV/0!</v>
      </c>
      <c r="AD56">
        <f t="shared" si="60"/>
        <v>12</v>
      </c>
      <c r="AE56">
        <f t="shared" si="60"/>
        <v>14.000000000000002</v>
      </c>
      <c r="AF56">
        <f t="shared" si="60"/>
        <v>15</v>
      </c>
      <c r="AG56">
        <f t="shared" si="60"/>
        <v>10</v>
      </c>
      <c r="AH56">
        <f t="shared" si="60"/>
        <v>11</v>
      </c>
      <c r="AI56">
        <f t="shared" si="60"/>
        <v>12</v>
      </c>
      <c r="AJ56" s="2">
        <f t="shared" si="61"/>
        <v>13</v>
      </c>
      <c r="AK56" t="e">
        <f t="shared" ref="AK56:AP56" si="86">100*ROUND(AK36,2)</f>
        <v>#DIV/0!</v>
      </c>
      <c r="AL56" t="e">
        <f t="shared" si="86"/>
        <v>#DIV/0!</v>
      </c>
      <c r="AM56" t="e">
        <f t="shared" si="86"/>
        <v>#DIV/0!</v>
      </c>
      <c r="AN56" t="e">
        <f t="shared" si="86"/>
        <v>#DIV/0!</v>
      </c>
      <c r="AO56" t="e">
        <f t="shared" si="86"/>
        <v>#DIV/0!</v>
      </c>
      <c r="AP56">
        <f t="shared" si="86"/>
        <v>13</v>
      </c>
    </row>
    <row r="57" spans="3:42" x14ac:dyDescent="0.25">
      <c r="C57" s="3">
        <f t="shared" si="49"/>
        <v>0</v>
      </c>
      <c r="D57">
        <f t="shared" si="50"/>
        <v>0</v>
      </c>
      <c r="E57">
        <f t="shared" si="50"/>
        <v>0</v>
      </c>
      <c r="F57">
        <f t="shared" si="50"/>
        <v>0</v>
      </c>
      <c r="G57" s="3">
        <f t="shared" si="51"/>
        <v>0</v>
      </c>
      <c r="H57">
        <f t="shared" si="52"/>
        <v>0</v>
      </c>
      <c r="I57">
        <f t="shared" si="52"/>
        <v>0</v>
      </c>
      <c r="J57">
        <f t="shared" si="52"/>
        <v>0</v>
      </c>
      <c r="K57" s="2">
        <f t="shared" si="53"/>
        <v>0</v>
      </c>
      <c r="L57">
        <f t="shared" ref="L57" si="87">100*ROUND(L37,2)</f>
        <v>0</v>
      </c>
      <c r="N57" s="6"/>
      <c r="O57" t="e">
        <f t="shared" ref="O57:Q57" si="88">100*ROUND(O37,2)</f>
        <v>#DIV/0!</v>
      </c>
      <c r="P57" t="e">
        <f t="shared" si="88"/>
        <v>#DIV/0!</v>
      </c>
      <c r="Q57" t="e">
        <f t="shared" si="88"/>
        <v>#DIV/0!</v>
      </c>
      <c r="R57" s="6"/>
      <c r="S57" t="e">
        <f t="shared" ref="S57:T57" si="89">100*ROUND(S37,2)</f>
        <v>#DIV/0!</v>
      </c>
      <c r="T57" t="e">
        <f t="shared" si="89"/>
        <v>#DIV/0!</v>
      </c>
      <c r="U57" s="3">
        <f t="shared" si="57"/>
        <v>16.666666666666668</v>
      </c>
      <c r="V57">
        <f t="shared" si="58"/>
        <v>98</v>
      </c>
      <c r="W57">
        <f t="shared" si="58"/>
        <v>0</v>
      </c>
      <c r="X57">
        <f t="shared" si="58"/>
        <v>0</v>
      </c>
      <c r="Y57">
        <f t="shared" si="58"/>
        <v>2</v>
      </c>
      <c r="Z57">
        <f t="shared" si="58"/>
        <v>0</v>
      </c>
      <c r="AA57">
        <f t="shared" si="58"/>
        <v>0</v>
      </c>
      <c r="AB57" s="3">
        <f t="shared" si="59"/>
        <v>0</v>
      </c>
      <c r="AC57" t="e">
        <f t="shared" si="60"/>
        <v>#DIV/0!</v>
      </c>
      <c r="AD57">
        <f t="shared" si="60"/>
        <v>0</v>
      </c>
      <c r="AE57">
        <f t="shared" si="60"/>
        <v>0</v>
      </c>
      <c r="AF57">
        <f t="shared" si="60"/>
        <v>0</v>
      </c>
      <c r="AG57">
        <f t="shared" si="60"/>
        <v>0</v>
      </c>
      <c r="AH57">
        <f t="shared" si="60"/>
        <v>0</v>
      </c>
      <c r="AI57">
        <f t="shared" si="60"/>
        <v>0</v>
      </c>
      <c r="AJ57" s="2">
        <f t="shared" si="61"/>
        <v>0</v>
      </c>
      <c r="AK57" t="e">
        <f t="shared" ref="AK57:AP57" si="90">100*ROUND(AK37,2)</f>
        <v>#DIV/0!</v>
      </c>
      <c r="AL57" t="e">
        <f t="shared" si="90"/>
        <v>#DIV/0!</v>
      </c>
      <c r="AM57" t="e">
        <f t="shared" si="90"/>
        <v>#DIV/0!</v>
      </c>
      <c r="AN57" t="e">
        <f t="shared" si="90"/>
        <v>#DIV/0!</v>
      </c>
      <c r="AO57" t="e">
        <f t="shared" si="90"/>
        <v>#DIV/0!</v>
      </c>
      <c r="AP57">
        <f t="shared" si="90"/>
        <v>0</v>
      </c>
    </row>
    <row r="58" spans="3:42" x14ac:dyDescent="0.25">
      <c r="C58" s="3">
        <f t="shared" si="49"/>
        <v>98.666666666666671</v>
      </c>
      <c r="D58">
        <f t="shared" si="50"/>
        <v>100</v>
      </c>
      <c r="E58">
        <f t="shared" si="50"/>
        <v>96</v>
      </c>
      <c r="F58">
        <f t="shared" si="50"/>
        <v>100</v>
      </c>
      <c r="G58" s="3">
        <f t="shared" si="51"/>
        <v>98.666666666666671</v>
      </c>
      <c r="H58">
        <f t="shared" si="52"/>
        <v>99</v>
      </c>
      <c r="I58">
        <f t="shared" si="52"/>
        <v>98</v>
      </c>
      <c r="J58">
        <f t="shared" si="52"/>
        <v>99</v>
      </c>
      <c r="K58" s="2">
        <f t="shared" si="53"/>
        <v>99</v>
      </c>
      <c r="L58">
        <f t="shared" ref="L58" si="91">100*ROUND(L38,2)</f>
        <v>99</v>
      </c>
      <c r="N58" s="6"/>
      <c r="O58" t="e">
        <f t="shared" ref="O58:Q58" si="92">100*ROUND(O38,2)</f>
        <v>#DIV/0!</v>
      </c>
      <c r="P58" t="e">
        <f t="shared" si="92"/>
        <v>#DIV/0!</v>
      </c>
      <c r="Q58" t="e">
        <f t="shared" si="92"/>
        <v>#DIV/0!</v>
      </c>
      <c r="R58" s="6"/>
      <c r="S58" t="e">
        <f t="shared" ref="S58:T58" si="93">100*ROUND(S38,2)</f>
        <v>#DIV/0!</v>
      </c>
      <c r="T58" t="e">
        <f t="shared" si="93"/>
        <v>#DIV/0!</v>
      </c>
      <c r="U58" s="3">
        <f t="shared" si="57"/>
        <v>64</v>
      </c>
      <c r="V58">
        <f t="shared" si="58"/>
        <v>6</v>
      </c>
      <c r="W58">
        <f t="shared" si="58"/>
        <v>99</v>
      </c>
      <c r="X58">
        <f t="shared" si="58"/>
        <v>0</v>
      </c>
      <c r="Y58">
        <f t="shared" si="58"/>
        <v>93</v>
      </c>
      <c r="Z58">
        <f t="shared" si="58"/>
        <v>99</v>
      </c>
      <c r="AA58">
        <f t="shared" si="58"/>
        <v>87</v>
      </c>
      <c r="AB58" s="3">
        <f t="shared" si="59"/>
        <v>97.5</v>
      </c>
      <c r="AC58" t="e">
        <f t="shared" si="60"/>
        <v>#DIV/0!</v>
      </c>
      <c r="AD58">
        <f t="shared" si="60"/>
        <v>98</v>
      </c>
      <c r="AE58">
        <f t="shared" si="60"/>
        <v>96</v>
      </c>
      <c r="AF58">
        <f t="shared" si="60"/>
        <v>94</v>
      </c>
      <c r="AG58">
        <f t="shared" si="60"/>
        <v>100</v>
      </c>
      <c r="AH58">
        <f t="shared" si="60"/>
        <v>99</v>
      </c>
      <c r="AI58">
        <f t="shared" si="60"/>
        <v>98</v>
      </c>
      <c r="AJ58" s="2">
        <f t="shared" si="61"/>
        <v>96</v>
      </c>
      <c r="AK58" t="e">
        <f t="shared" ref="AK58:AP58" si="94">100*ROUND(AK38,2)</f>
        <v>#DIV/0!</v>
      </c>
      <c r="AL58" t="e">
        <f t="shared" si="94"/>
        <v>#DIV/0!</v>
      </c>
      <c r="AM58" t="e">
        <f t="shared" si="94"/>
        <v>#DIV/0!</v>
      </c>
      <c r="AN58" t="e">
        <f t="shared" si="94"/>
        <v>#DIV/0!</v>
      </c>
      <c r="AO58" t="e">
        <f t="shared" si="94"/>
        <v>#DIV/0!</v>
      </c>
      <c r="AP58">
        <f t="shared" si="94"/>
        <v>96</v>
      </c>
    </row>
    <row r="59" spans="3:42" x14ac:dyDescent="0.25">
      <c r="C59" s="3">
        <f t="shared" si="49"/>
        <v>100</v>
      </c>
      <c r="D59">
        <f t="shared" si="50"/>
        <v>100</v>
      </c>
      <c r="E59">
        <f t="shared" si="50"/>
        <v>100</v>
      </c>
      <c r="F59">
        <f t="shared" si="50"/>
        <v>100</v>
      </c>
      <c r="G59" s="3">
        <f t="shared" si="51"/>
        <v>100</v>
      </c>
      <c r="H59">
        <f t="shared" si="52"/>
        <v>100</v>
      </c>
      <c r="I59">
        <f t="shared" si="52"/>
        <v>100</v>
      </c>
      <c r="J59">
        <f t="shared" si="52"/>
        <v>100</v>
      </c>
      <c r="K59" s="2">
        <f t="shared" si="53"/>
        <v>100</v>
      </c>
      <c r="L59">
        <f t="shared" ref="L59" si="95">100*ROUND(L39,2)</f>
        <v>100</v>
      </c>
      <c r="N59" s="6"/>
      <c r="O59" t="e">
        <f t="shared" ref="O59:Q59" si="96">100*ROUND(O39,2)</f>
        <v>#DIV/0!</v>
      </c>
      <c r="P59" t="e">
        <f t="shared" si="96"/>
        <v>#DIV/0!</v>
      </c>
      <c r="Q59" t="e">
        <f t="shared" si="96"/>
        <v>#DIV/0!</v>
      </c>
      <c r="R59" s="6"/>
      <c r="S59" t="e">
        <f t="shared" ref="S59:T59" si="97">100*ROUND(S39,2)</f>
        <v>#DIV/0!</v>
      </c>
      <c r="T59" t="e">
        <f t="shared" si="97"/>
        <v>#DIV/0!</v>
      </c>
      <c r="U59" s="3">
        <f t="shared" si="57"/>
        <v>68.333333333333329</v>
      </c>
      <c r="V59">
        <f t="shared" si="58"/>
        <v>17</v>
      </c>
      <c r="W59">
        <f t="shared" si="58"/>
        <v>100</v>
      </c>
      <c r="X59">
        <f t="shared" si="58"/>
        <v>0</v>
      </c>
      <c r="Y59">
        <f t="shared" si="58"/>
        <v>93</v>
      </c>
      <c r="Z59">
        <f t="shared" si="58"/>
        <v>100</v>
      </c>
      <c r="AA59">
        <f t="shared" si="58"/>
        <v>100</v>
      </c>
      <c r="AB59" s="3">
        <f t="shared" si="59"/>
        <v>100</v>
      </c>
      <c r="AC59" t="e">
        <f t="shared" si="60"/>
        <v>#DIV/0!</v>
      </c>
      <c r="AD59">
        <f t="shared" si="60"/>
        <v>100</v>
      </c>
      <c r="AE59">
        <f t="shared" si="60"/>
        <v>100</v>
      </c>
      <c r="AF59">
        <f t="shared" si="60"/>
        <v>100</v>
      </c>
      <c r="AG59">
        <f t="shared" si="60"/>
        <v>100</v>
      </c>
      <c r="AH59">
        <f t="shared" si="60"/>
        <v>100</v>
      </c>
      <c r="AI59">
        <f t="shared" si="60"/>
        <v>100</v>
      </c>
      <c r="AJ59" s="2">
        <f t="shared" si="61"/>
        <v>100</v>
      </c>
      <c r="AK59" t="e">
        <f t="shared" ref="AK59:AP59" si="98">100*ROUND(AK39,2)</f>
        <v>#DIV/0!</v>
      </c>
      <c r="AL59" t="e">
        <f t="shared" si="98"/>
        <v>#DIV/0!</v>
      </c>
      <c r="AM59" t="e">
        <f t="shared" si="98"/>
        <v>#DIV/0!</v>
      </c>
      <c r="AN59" t="e">
        <f t="shared" si="98"/>
        <v>#DIV/0!</v>
      </c>
      <c r="AO59" t="e">
        <f t="shared" si="98"/>
        <v>#DIV/0!</v>
      </c>
      <c r="AP59">
        <f t="shared" si="98"/>
        <v>100</v>
      </c>
    </row>
    <row r="60" spans="3:42" x14ac:dyDescent="0.25">
      <c r="C60" s="3">
        <f t="shared" si="49"/>
        <v>98.666666666666671</v>
      </c>
      <c r="D60">
        <f t="shared" si="50"/>
        <v>100</v>
      </c>
      <c r="E60">
        <f t="shared" si="50"/>
        <v>96</v>
      </c>
      <c r="F60">
        <f t="shared" si="50"/>
        <v>100</v>
      </c>
      <c r="G60" s="3">
        <f t="shared" si="51"/>
        <v>98.666666666666671</v>
      </c>
      <c r="H60">
        <f t="shared" si="52"/>
        <v>99</v>
      </c>
      <c r="I60">
        <f t="shared" si="52"/>
        <v>98</v>
      </c>
      <c r="J60">
        <f t="shared" si="52"/>
        <v>99</v>
      </c>
      <c r="K60" s="2">
        <f t="shared" si="53"/>
        <v>99</v>
      </c>
      <c r="L60">
        <f t="shared" ref="L60" si="99">100*ROUND(L40,2)</f>
        <v>99</v>
      </c>
      <c r="N60" s="6"/>
      <c r="O60" t="e">
        <f t="shared" ref="O60:Q60" si="100">100*ROUND(O40,2)</f>
        <v>#DIV/0!</v>
      </c>
      <c r="P60" t="e">
        <f t="shared" si="100"/>
        <v>#DIV/0!</v>
      </c>
      <c r="Q60" t="e">
        <f t="shared" si="100"/>
        <v>#DIV/0!</v>
      </c>
      <c r="R60" s="6"/>
      <c r="S60" t="e">
        <f t="shared" ref="S60:T60" si="101">100*ROUND(S40,2)</f>
        <v>#DIV/0!</v>
      </c>
      <c r="T60" t="e">
        <f t="shared" si="101"/>
        <v>#DIV/0!</v>
      </c>
      <c r="U60" s="3">
        <f t="shared" si="57"/>
        <v>64</v>
      </c>
      <c r="V60">
        <f t="shared" si="58"/>
        <v>6</v>
      </c>
      <c r="W60">
        <f t="shared" si="58"/>
        <v>99</v>
      </c>
      <c r="X60">
        <f t="shared" si="58"/>
        <v>0</v>
      </c>
      <c r="Y60">
        <f t="shared" si="58"/>
        <v>93</v>
      </c>
      <c r="Z60">
        <f t="shared" si="58"/>
        <v>99</v>
      </c>
      <c r="AA60">
        <f t="shared" si="58"/>
        <v>87</v>
      </c>
      <c r="AB60" s="3">
        <f t="shared" si="59"/>
        <v>97.5</v>
      </c>
      <c r="AC60" t="e">
        <f t="shared" si="60"/>
        <v>#DIV/0!</v>
      </c>
      <c r="AD60">
        <f t="shared" si="60"/>
        <v>98</v>
      </c>
      <c r="AE60">
        <f t="shared" si="60"/>
        <v>96</v>
      </c>
      <c r="AF60">
        <f t="shared" si="60"/>
        <v>94</v>
      </c>
      <c r="AG60">
        <f t="shared" si="60"/>
        <v>100</v>
      </c>
      <c r="AH60">
        <f t="shared" si="60"/>
        <v>99</v>
      </c>
      <c r="AI60">
        <f t="shared" si="60"/>
        <v>98</v>
      </c>
      <c r="AJ60" s="2">
        <f t="shared" si="61"/>
        <v>96</v>
      </c>
      <c r="AK60" t="e">
        <f t="shared" ref="AK60:AP60" si="102">100*ROUND(AK40,2)</f>
        <v>#DIV/0!</v>
      </c>
      <c r="AL60" t="e">
        <f t="shared" si="102"/>
        <v>#DIV/0!</v>
      </c>
      <c r="AM60" t="e">
        <f t="shared" si="102"/>
        <v>#DIV/0!</v>
      </c>
      <c r="AN60" t="e">
        <f t="shared" si="102"/>
        <v>#DIV/0!</v>
      </c>
      <c r="AO60" t="e">
        <f t="shared" si="102"/>
        <v>#DIV/0!</v>
      </c>
      <c r="AP60">
        <f t="shared" si="102"/>
        <v>96</v>
      </c>
    </row>
    <row r="61" spans="3:42" x14ac:dyDescent="0.25">
      <c r="C61" s="3">
        <f t="shared" si="49"/>
        <v>100</v>
      </c>
      <c r="D61">
        <f t="shared" si="50"/>
        <v>100</v>
      </c>
      <c r="E61">
        <f t="shared" si="50"/>
        <v>100</v>
      </c>
      <c r="F61">
        <f t="shared" si="50"/>
        <v>100</v>
      </c>
      <c r="G61" s="3">
        <f t="shared" si="51"/>
        <v>100</v>
      </c>
      <c r="H61">
        <f t="shared" si="52"/>
        <v>100</v>
      </c>
      <c r="I61">
        <f t="shared" si="52"/>
        <v>100</v>
      </c>
      <c r="J61">
        <f t="shared" si="52"/>
        <v>100</v>
      </c>
      <c r="K61" s="2">
        <f t="shared" si="53"/>
        <v>100</v>
      </c>
      <c r="L61">
        <f t="shared" ref="L61" si="103">100*ROUND(L41,2)</f>
        <v>100</v>
      </c>
      <c r="N61" s="6"/>
      <c r="O61" t="e">
        <f t="shared" ref="O61:Q61" si="104">100*ROUND(O41,2)</f>
        <v>#DIV/0!</v>
      </c>
      <c r="P61" t="e">
        <f t="shared" si="104"/>
        <v>#DIV/0!</v>
      </c>
      <c r="Q61" t="e">
        <f t="shared" si="104"/>
        <v>#DIV/0!</v>
      </c>
      <c r="R61" s="6"/>
      <c r="S61" t="e">
        <f t="shared" ref="S61:T61" si="105">100*ROUND(S41,2)</f>
        <v>#DIV/0!</v>
      </c>
      <c r="T61" t="e">
        <f t="shared" si="105"/>
        <v>#DIV/0!</v>
      </c>
      <c r="U61" s="3">
        <f t="shared" si="57"/>
        <v>68.333333333333329</v>
      </c>
      <c r="V61">
        <f t="shared" si="58"/>
        <v>17</v>
      </c>
      <c r="W61">
        <f t="shared" si="58"/>
        <v>100</v>
      </c>
      <c r="X61">
        <f t="shared" si="58"/>
        <v>0</v>
      </c>
      <c r="Y61">
        <f t="shared" si="58"/>
        <v>93</v>
      </c>
      <c r="Z61">
        <f t="shared" si="58"/>
        <v>100</v>
      </c>
      <c r="AA61">
        <f t="shared" si="58"/>
        <v>100</v>
      </c>
      <c r="AB61" s="3">
        <f t="shared" si="59"/>
        <v>100</v>
      </c>
      <c r="AC61" t="e">
        <f t="shared" si="60"/>
        <v>#DIV/0!</v>
      </c>
      <c r="AD61">
        <f t="shared" si="60"/>
        <v>100</v>
      </c>
      <c r="AE61">
        <f t="shared" si="60"/>
        <v>100</v>
      </c>
      <c r="AF61">
        <f t="shared" si="60"/>
        <v>100</v>
      </c>
      <c r="AG61">
        <f t="shared" si="60"/>
        <v>100</v>
      </c>
      <c r="AH61">
        <f t="shared" si="60"/>
        <v>100</v>
      </c>
      <c r="AI61">
        <f t="shared" si="60"/>
        <v>100</v>
      </c>
      <c r="AJ61" s="2">
        <f t="shared" si="61"/>
        <v>100</v>
      </c>
      <c r="AK61" t="e">
        <f t="shared" ref="AK61:AP61" si="106">100*ROUND(AK41,2)</f>
        <v>#DIV/0!</v>
      </c>
      <c r="AL61" t="e">
        <f t="shared" si="106"/>
        <v>#DIV/0!</v>
      </c>
      <c r="AM61" t="e">
        <f t="shared" si="106"/>
        <v>#DIV/0!</v>
      </c>
      <c r="AN61" t="e">
        <f t="shared" si="106"/>
        <v>#DIV/0!</v>
      </c>
      <c r="AO61" t="e">
        <f t="shared" si="106"/>
        <v>#DIV/0!</v>
      </c>
      <c r="AP61">
        <f t="shared" si="106"/>
        <v>100</v>
      </c>
    </row>
    <row r="62" spans="3:42" x14ac:dyDescent="0.25">
      <c r="C62" s="3">
        <f t="shared" si="49"/>
        <v>98</v>
      </c>
      <c r="D62">
        <f t="shared" si="50"/>
        <v>100</v>
      </c>
      <c r="E62">
        <f t="shared" si="50"/>
        <v>94</v>
      </c>
      <c r="F62">
        <f t="shared" si="50"/>
        <v>100</v>
      </c>
      <c r="G62" s="3">
        <f t="shared" si="51"/>
        <v>97.333333333333329</v>
      </c>
      <c r="H62">
        <f t="shared" si="52"/>
        <v>98</v>
      </c>
      <c r="I62">
        <f t="shared" si="52"/>
        <v>96</v>
      </c>
      <c r="J62">
        <f t="shared" si="52"/>
        <v>98</v>
      </c>
      <c r="K62" s="2">
        <f t="shared" si="53"/>
        <v>99</v>
      </c>
      <c r="L62">
        <f t="shared" ref="L62" si="107">100*ROUND(L42,2)</f>
        <v>99</v>
      </c>
      <c r="N62" s="6"/>
      <c r="O62" t="e">
        <f t="shared" ref="O62:Q62" si="108">100*ROUND(O42,2)</f>
        <v>#DIV/0!</v>
      </c>
      <c r="P62" t="e">
        <f t="shared" si="108"/>
        <v>#DIV/0!</v>
      </c>
      <c r="Q62" t="e">
        <f t="shared" si="108"/>
        <v>#DIV/0!</v>
      </c>
      <c r="R62" s="6"/>
      <c r="S62" t="e">
        <f t="shared" ref="S62:T62" si="109">100*ROUND(S42,2)</f>
        <v>#DIV/0!</v>
      </c>
      <c r="T62" t="e">
        <f t="shared" si="109"/>
        <v>#DIV/0!</v>
      </c>
      <c r="U62" s="3">
        <f t="shared" si="57"/>
        <v>79</v>
      </c>
      <c r="V62">
        <f t="shared" si="58"/>
        <v>0</v>
      </c>
      <c r="W62">
        <f t="shared" si="58"/>
        <v>99</v>
      </c>
      <c r="X62">
        <f t="shared" si="58"/>
        <v>100</v>
      </c>
      <c r="Y62">
        <f t="shared" si="58"/>
        <v>100</v>
      </c>
      <c r="Z62">
        <f t="shared" si="58"/>
        <v>96</v>
      </c>
      <c r="AA62">
        <f t="shared" si="58"/>
        <v>79</v>
      </c>
      <c r="AB62" s="3">
        <f t="shared" si="59"/>
        <v>96</v>
      </c>
      <c r="AC62" t="e">
        <f t="shared" si="60"/>
        <v>#DIV/0!</v>
      </c>
      <c r="AD62">
        <f t="shared" si="60"/>
        <v>97</v>
      </c>
      <c r="AE62">
        <f t="shared" si="60"/>
        <v>93</v>
      </c>
      <c r="AF62">
        <f t="shared" si="60"/>
        <v>91</v>
      </c>
      <c r="AG62">
        <f t="shared" si="60"/>
        <v>100</v>
      </c>
      <c r="AH62">
        <f t="shared" si="60"/>
        <v>98</v>
      </c>
      <c r="AI62">
        <f t="shared" si="60"/>
        <v>97</v>
      </c>
      <c r="AJ62" s="2">
        <f t="shared" si="61"/>
        <v>95</v>
      </c>
      <c r="AK62" t="e">
        <f t="shared" ref="AK62:AP62" si="110">100*ROUND(AK42,2)</f>
        <v>#DIV/0!</v>
      </c>
      <c r="AL62" t="e">
        <f t="shared" si="110"/>
        <v>#DIV/0!</v>
      </c>
      <c r="AM62" t="e">
        <f t="shared" si="110"/>
        <v>#DIV/0!</v>
      </c>
      <c r="AN62" t="e">
        <f t="shared" si="110"/>
        <v>#DIV/0!</v>
      </c>
      <c r="AO62" t="e">
        <f t="shared" si="110"/>
        <v>#DIV/0!</v>
      </c>
      <c r="AP62">
        <f t="shared" si="110"/>
        <v>95</v>
      </c>
    </row>
    <row r="63" spans="3:42" x14ac:dyDescent="0.25">
      <c r="C63" s="3">
        <f t="shared" si="49"/>
        <v>99.333333333333329</v>
      </c>
      <c r="D63">
        <f t="shared" si="50"/>
        <v>100</v>
      </c>
      <c r="E63">
        <f t="shared" si="50"/>
        <v>98</v>
      </c>
      <c r="F63">
        <f t="shared" si="50"/>
        <v>100</v>
      </c>
      <c r="G63" s="3">
        <f t="shared" si="51"/>
        <v>99</v>
      </c>
      <c r="H63">
        <f t="shared" si="52"/>
        <v>99</v>
      </c>
      <c r="I63">
        <f t="shared" si="52"/>
        <v>99</v>
      </c>
      <c r="J63">
        <f t="shared" si="52"/>
        <v>99</v>
      </c>
      <c r="K63" s="2">
        <f t="shared" si="53"/>
        <v>100</v>
      </c>
      <c r="L63">
        <f t="shared" ref="L63" si="111">100*ROUND(L43,2)</f>
        <v>100</v>
      </c>
      <c r="N63" s="6"/>
      <c r="O63" t="e">
        <f t="shared" ref="O63:Q63" si="112">100*ROUND(O43,2)</f>
        <v>#DIV/0!</v>
      </c>
      <c r="P63" t="e">
        <f t="shared" si="112"/>
        <v>#DIV/0!</v>
      </c>
      <c r="Q63" t="e">
        <f t="shared" si="112"/>
        <v>#DIV/0!</v>
      </c>
      <c r="R63" s="6"/>
      <c r="S63" t="e">
        <f t="shared" ref="S63:T63" si="113">100*ROUND(S43,2)</f>
        <v>#DIV/0!</v>
      </c>
      <c r="T63" t="e">
        <f t="shared" si="113"/>
        <v>#DIV/0!</v>
      </c>
      <c r="U63" s="3">
        <f t="shared" si="57"/>
        <v>83.5</v>
      </c>
      <c r="V63">
        <f t="shared" si="58"/>
        <v>11</v>
      </c>
      <c r="W63">
        <f t="shared" si="58"/>
        <v>100</v>
      </c>
      <c r="X63">
        <f t="shared" si="58"/>
        <v>100</v>
      </c>
      <c r="Y63">
        <f t="shared" si="58"/>
        <v>100</v>
      </c>
      <c r="Z63">
        <f t="shared" si="58"/>
        <v>97</v>
      </c>
      <c r="AA63">
        <f t="shared" si="58"/>
        <v>93</v>
      </c>
      <c r="AB63" s="3">
        <f t="shared" si="59"/>
        <v>98.666666666666671</v>
      </c>
      <c r="AC63" t="e">
        <f t="shared" si="60"/>
        <v>#DIV/0!</v>
      </c>
      <c r="AD63">
        <f t="shared" si="60"/>
        <v>99</v>
      </c>
      <c r="AE63">
        <f t="shared" si="60"/>
        <v>98</v>
      </c>
      <c r="AF63">
        <f t="shared" si="60"/>
        <v>97</v>
      </c>
      <c r="AG63">
        <f t="shared" si="60"/>
        <v>100</v>
      </c>
      <c r="AH63">
        <f t="shared" si="60"/>
        <v>99</v>
      </c>
      <c r="AI63">
        <f t="shared" si="60"/>
        <v>99</v>
      </c>
      <c r="AJ63" s="2">
        <f t="shared" si="61"/>
        <v>98</v>
      </c>
      <c r="AK63" t="e">
        <f t="shared" ref="AK63:AP63" si="114">100*ROUND(AK43,2)</f>
        <v>#DIV/0!</v>
      </c>
      <c r="AL63" t="e">
        <f t="shared" si="114"/>
        <v>#DIV/0!</v>
      </c>
      <c r="AM63" t="e">
        <f t="shared" si="114"/>
        <v>#DIV/0!</v>
      </c>
      <c r="AN63" t="e">
        <f t="shared" si="114"/>
        <v>#DIV/0!</v>
      </c>
      <c r="AO63" t="e">
        <f t="shared" si="114"/>
        <v>#DIV/0!</v>
      </c>
      <c r="AP63">
        <f t="shared" si="114"/>
        <v>98</v>
      </c>
    </row>
    <row r="64" spans="3:42" x14ac:dyDescent="0.25">
      <c r="C64" s="3">
        <f t="shared" si="49"/>
        <v>98</v>
      </c>
      <c r="D64">
        <f t="shared" si="50"/>
        <v>100</v>
      </c>
      <c r="E64">
        <f t="shared" si="50"/>
        <v>94</v>
      </c>
      <c r="F64">
        <f t="shared" si="50"/>
        <v>100</v>
      </c>
      <c r="G64" s="3">
        <f t="shared" si="51"/>
        <v>97.333333333333329</v>
      </c>
      <c r="H64">
        <f t="shared" si="52"/>
        <v>98</v>
      </c>
      <c r="I64">
        <f t="shared" si="52"/>
        <v>96</v>
      </c>
      <c r="J64">
        <f t="shared" si="52"/>
        <v>98</v>
      </c>
      <c r="K64" s="2">
        <f t="shared" si="53"/>
        <v>99</v>
      </c>
      <c r="L64">
        <f t="shared" ref="L64" si="115">100*ROUND(L44,2)</f>
        <v>99</v>
      </c>
      <c r="N64" s="6"/>
      <c r="O64" t="e">
        <f t="shared" ref="O64:Q64" si="116">100*ROUND(O44,2)</f>
        <v>#DIV/0!</v>
      </c>
      <c r="P64" t="e">
        <f t="shared" si="116"/>
        <v>#DIV/0!</v>
      </c>
      <c r="Q64" t="e">
        <f t="shared" si="116"/>
        <v>#DIV/0!</v>
      </c>
      <c r="R64" s="6"/>
      <c r="S64" t="e">
        <f t="shared" ref="S64:T64" si="117">100*ROUND(S44,2)</f>
        <v>#DIV/0!</v>
      </c>
      <c r="T64" t="e">
        <f t="shared" si="117"/>
        <v>#DIV/0!</v>
      </c>
      <c r="U64" s="3">
        <f t="shared" si="57"/>
        <v>79</v>
      </c>
      <c r="V64">
        <f t="shared" si="58"/>
        <v>0</v>
      </c>
      <c r="W64">
        <f t="shared" si="58"/>
        <v>99</v>
      </c>
      <c r="X64">
        <f t="shared" si="58"/>
        <v>100</v>
      </c>
      <c r="Y64">
        <f t="shared" si="58"/>
        <v>100</v>
      </c>
      <c r="Z64">
        <f t="shared" si="58"/>
        <v>96</v>
      </c>
      <c r="AA64">
        <f t="shared" si="58"/>
        <v>79</v>
      </c>
      <c r="AB64" s="3">
        <f t="shared" si="59"/>
        <v>96</v>
      </c>
      <c r="AC64" t="e">
        <f t="shared" si="60"/>
        <v>#DIV/0!</v>
      </c>
      <c r="AD64">
        <f t="shared" si="60"/>
        <v>97</v>
      </c>
      <c r="AE64">
        <f t="shared" si="60"/>
        <v>93</v>
      </c>
      <c r="AF64">
        <f t="shared" si="60"/>
        <v>91</v>
      </c>
      <c r="AG64">
        <f t="shared" si="60"/>
        <v>100</v>
      </c>
      <c r="AH64">
        <f t="shared" si="60"/>
        <v>98</v>
      </c>
      <c r="AI64">
        <f t="shared" si="60"/>
        <v>97</v>
      </c>
      <c r="AJ64" s="2">
        <f t="shared" si="61"/>
        <v>95</v>
      </c>
      <c r="AK64" t="e">
        <f t="shared" ref="AK64:AP64" si="118">100*ROUND(AK44,2)</f>
        <v>#DIV/0!</v>
      </c>
      <c r="AL64" t="e">
        <f t="shared" si="118"/>
        <v>#DIV/0!</v>
      </c>
      <c r="AM64" t="e">
        <f t="shared" si="118"/>
        <v>#DIV/0!</v>
      </c>
      <c r="AN64" t="e">
        <f t="shared" si="118"/>
        <v>#DIV/0!</v>
      </c>
      <c r="AO64" t="e">
        <f t="shared" si="118"/>
        <v>#DIV/0!</v>
      </c>
      <c r="AP64">
        <f t="shared" si="118"/>
        <v>95</v>
      </c>
    </row>
    <row r="65" spans="3:42" x14ac:dyDescent="0.25">
      <c r="C65" s="3">
        <f t="shared" si="49"/>
        <v>99.333333333333329</v>
      </c>
      <c r="D65">
        <f t="shared" si="50"/>
        <v>100</v>
      </c>
      <c r="E65">
        <f t="shared" si="50"/>
        <v>98</v>
      </c>
      <c r="F65">
        <f t="shared" si="50"/>
        <v>100</v>
      </c>
      <c r="G65" s="3">
        <f t="shared" si="51"/>
        <v>99</v>
      </c>
      <c r="H65">
        <f t="shared" si="52"/>
        <v>99</v>
      </c>
      <c r="I65">
        <f t="shared" si="52"/>
        <v>99</v>
      </c>
      <c r="J65">
        <f t="shared" si="52"/>
        <v>99</v>
      </c>
      <c r="K65" s="2">
        <f t="shared" si="53"/>
        <v>100</v>
      </c>
      <c r="L65">
        <f t="shared" ref="L65" si="119">100*ROUND(L45,2)</f>
        <v>100</v>
      </c>
      <c r="N65" s="6"/>
      <c r="O65" t="e">
        <f t="shared" ref="O65:Q65" si="120">100*ROUND(O45,2)</f>
        <v>#DIV/0!</v>
      </c>
      <c r="P65" t="e">
        <f t="shared" si="120"/>
        <v>#DIV/0!</v>
      </c>
      <c r="Q65" t="e">
        <f t="shared" si="120"/>
        <v>#DIV/0!</v>
      </c>
      <c r="R65" s="6"/>
      <c r="S65" t="e">
        <f t="shared" ref="S65:T65" si="121">100*ROUND(S45,2)</f>
        <v>#DIV/0!</v>
      </c>
      <c r="T65" t="e">
        <f t="shared" si="121"/>
        <v>#DIV/0!</v>
      </c>
      <c r="U65" s="3">
        <f t="shared" si="57"/>
        <v>83.5</v>
      </c>
      <c r="V65">
        <f t="shared" si="58"/>
        <v>11</v>
      </c>
      <c r="W65">
        <f t="shared" si="58"/>
        <v>100</v>
      </c>
      <c r="X65">
        <f t="shared" si="58"/>
        <v>100</v>
      </c>
      <c r="Y65">
        <f t="shared" si="58"/>
        <v>100</v>
      </c>
      <c r="Z65">
        <f t="shared" si="58"/>
        <v>97</v>
      </c>
      <c r="AA65">
        <f t="shared" si="58"/>
        <v>93</v>
      </c>
      <c r="AB65" s="3">
        <f t="shared" si="59"/>
        <v>98.666666666666671</v>
      </c>
      <c r="AC65" t="e">
        <f t="shared" si="60"/>
        <v>#DIV/0!</v>
      </c>
      <c r="AD65">
        <f t="shared" si="60"/>
        <v>99</v>
      </c>
      <c r="AE65">
        <f t="shared" si="60"/>
        <v>98</v>
      </c>
      <c r="AF65">
        <f t="shared" si="60"/>
        <v>97</v>
      </c>
      <c r="AG65">
        <f t="shared" si="60"/>
        <v>100</v>
      </c>
      <c r="AH65">
        <f t="shared" si="60"/>
        <v>99</v>
      </c>
      <c r="AI65">
        <f t="shared" si="60"/>
        <v>99</v>
      </c>
      <c r="AJ65" s="2">
        <f t="shared" si="61"/>
        <v>98</v>
      </c>
      <c r="AK65" t="e">
        <f t="shared" ref="AK65:AP65" si="122">100*ROUND(AK45,2)</f>
        <v>#DIV/0!</v>
      </c>
      <c r="AL65" t="e">
        <f t="shared" si="122"/>
        <v>#DIV/0!</v>
      </c>
      <c r="AM65" t="e">
        <f t="shared" si="122"/>
        <v>#DIV/0!</v>
      </c>
      <c r="AN65" t="e">
        <f t="shared" si="122"/>
        <v>#DIV/0!</v>
      </c>
      <c r="AO65" t="e">
        <f t="shared" si="122"/>
        <v>#DIV/0!</v>
      </c>
      <c r="AP65">
        <f t="shared" si="122"/>
        <v>98</v>
      </c>
    </row>
    <row r="66" spans="3:42" x14ac:dyDescent="0.25">
      <c r="C66" s="3">
        <f t="shared" si="49"/>
        <v>98</v>
      </c>
      <c r="D66">
        <f>100*ROUND(D46,2)</f>
        <v>100</v>
      </c>
      <c r="E66">
        <f t="shared" ref="E66:F66" si="123">100*ROUND(E46,2)</f>
        <v>94</v>
      </c>
      <c r="F66">
        <f t="shared" si="123"/>
        <v>100</v>
      </c>
      <c r="G66" s="3">
        <f t="shared" si="51"/>
        <v>97.333333333333329</v>
      </c>
      <c r="H66">
        <f t="shared" si="52"/>
        <v>98</v>
      </c>
      <c r="I66">
        <f t="shared" si="52"/>
        <v>96</v>
      </c>
      <c r="J66">
        <f t="shared" si="52"/>
        <v>98</v>
      </c>
      <c r="K66" s="2">
        <f t="shared" si="53"/>
        <v>99</v>
      </c>
      <c r="L66">
        <f t="shared" ref="L66" si="124">100*ROUND(L46,2)</f>
        <v>99</v>
      </c>
      <c r="N66" s="6"/>
      <c r="O66" t="e">
        <f t="shared" ref="O66:Q66" si="125">100*ROUND(O46,2)</f>
        <v>#DIV/0!</v>
      </c>
      <c r="P66" t="e">
        <f t="shared" si="125"/>
        <v>#DIV/0!</v>
      </c>
      <c r="Q66" t="e">
        <f t="shared" si="125"/>
        <v>#DIV/0!</v>
      </c>
      <c r="R66" s="6"/>
      <c r="S66" t="e">
        <f t="shared" ref="S66:T66" si="126">100*ROUND(S46,2)</f>
        <v>#DIV/0!</v>
      </c>
      <c r="T66" t="e">
        <f t="shared" si="126"/>
        <v>#DIV/0!</v>
      </c>
      <c r="U66" s="3">
        <f t="shared" si="57"/>
        <v>62.333333333333336</v>
      </c>
      <c r="V66">
        <f t="shared" si="58"/>
        <v>0</v>
      </c>
      <c r="W66">
        <f t="shared" si="58"/>
        <v>99</v>
      </c>
      <c r="X66">
        <f t="shared" si="58"/>
        <v>0</v>
      </c>
      <c r="Y66">
        <f t="shared" si="58"/>
        <v>100</v>
      </c>
      <c r="Z66">
        <f t="shared" si="58"/>
        <v>96</v>
      </c>
      <c r="AA66">
        <f t="shared" si="58"/>
        <v>79</v>
      </c>
      <c r="AB66" s="3">
        <f t="shared" si="59"/>
        <v>96</v>
      </c>
      <c r="AC66" t="e">
        <f t="shared" si="60"/>
        <v>#DIV/0!</v>
      </c>
      <c r="AD66">
        <f t="shared" si="60"/>
        <v>97</v>
      </c>
      <c r="AE66">
        <f t="shared" si="60"/>
        <v>93</v>
      </c>
      <c r="AF66">
        <f t="shared" si="60"/>
        <v>91</v>
      </c>
      <c r="AG66">
        <f t="shared" si="60"/>
        <v>100</v>
      </c>
      <c r="AH66">
        <f t="shared" si="60"/>
        <v>98</v>
      </c>
      <c r="AI66">
        <f t="shared" si="60"/>
        <v>97</v>
      </c>
      <c r="AJ66" s="2">
        <f t="shared" si="61"/>
        <v>95</v>
      </c>
      <c r="AK66" t="e">
        <f t="shared" ref="AK66:AP66" si="127">100*ROUND(AK46,2)</f>
        <v>#DIV/0!</v>
      </c>
      <c r="AL66" t="e">
        <f t="shared" si="127"/>
        <v>#DIV/0!</v>
      </c>
      <c r="AM66" t="e">
        <f t="shared" si="127"/>
        <v>#DIV/0!</v>
      </c>
      <c r="AN66" t="e">
        <f t="shared" si="127"/>
        <v>#DIV/0!</v>
      </c>
      <c r="AO66" t="e">
        <f t="shared" si="127"/>
        <v>#DIV/0!</v>
      </c>
      <c r="AP66">
        <f t="shared" si="127"/>
        <v>95</v>
      </c>
    </row>
    <row r="69" spans="3:42" x14ac:dyDescent="0.25">
      <c r="C69" s="2" t="s">
        <v>72</v>
      </c>
      <c r="G69" s="2" t="s">
        <v>71</v>
      </c>
      <c r="K69" s="2" t="s">
        <v>73</v>
      </c>
      <c r="U69" s="2" t="s">
        <v>74</v>
      </c>
      <c r="AB69" s="2" t="s">
        <v>75</v>
      </c>
      <c r="AJ69" s="2" t="s">
        <v>76</v>
      </c>
    </row>
    <row r="70" spans="3:42" x14ac:dyDescent="0.25">
      <c r="C70" s="2">
        <v>0.1656</v>
      </c>
      <c r="G70" s="2">
        <v>0.15679999999999999</v>
      </c>
      <c r="K70" s="2">
        <v>0.2203</v>
      </c>
      <c r="U70" s="2">
        <v>0.1779</v>
      </c>
      <c r="AB70" s="2">
        <v>0.1452</v>
      </c>
      <c r="AJ70" s="2">
        <v>0.13420000000000001</v>
      </c>
      <c r="AO70" s="7"/>
    </row>
    <row r="73" spans="3:42" x14ac:dyDescent="0.25">
      <c r="C73">
        <v>0.1656</v>
      </c>
      <c r="G73">
        <v>0.15679999999999999</v>
      </c>
      <c r="K73">
        <v>0.2203</v>
      </c>
      <c r="U73">
        <v>0.1779</v>
      </c>
      <c r="AB73">
        <v>0.1452</v>
      </c>
      <c r="AJ73">
        <v>0.13420000000000001</v>
      </c>
    </row>
    <row r="77" spans="3:42" x14ac:dyDescent="0.25">
      <c r="C77" s="8">
        <v>5.666666666666667</v>
      </c>
      <c r="D77" s="8">
        <v>6</v>
      </c>
      <c r="E77">
        <v>6</v>
      </c>
      <c r="F77" s="8">
        <v>20.666666666666668</v>
      </c>
      <c r="G77" s="8">
        <v>6.333333333333333</v>
      </c>
      <c r="H77">
        <v>7.0000000000000009</v>
      </c>
    </row>
    <row r="78" spans="3:42" x14ac:dyDescent="0.25">
      <c r="C78" s="8">
        <v>16.666666666666668</v>
      </c>
      <c r="D78" s="8">
        <v>16.666666666666668</v>
      </c>
      <c r="E78">
        <v>16</v>
      </c>
      <c r="F78" s="8">
        <v>28.333333333333332</v>
      </c>
      <c r="G78" s="8">
        <v>18.333333333333332</v>
      </c>
      <c r="H78">
        <v>19</v>
      </c>
    </row>
    <row r="79" spans="3:42" x14ac:dyDescent="0.25">
      <c r="C79" s="8">
        <v>5.666666666666667</v>
      </c>
      <c r="D79" s="8">
        <v>6</v>
      </c>
      <c r="E79">
        <v>6</v>
      </c>
      <c r="F79" s="8">
        <v>20.666666666666668</v>
      </c>
      <c r="G79" s="8">
        <v>6.333333333333333</v>
      </c>
      <c r="H79">
        <v>7.0000000000000009</v>
      </c>
    </row>
    <row r="80" spans="3:42" x14ac:dyDescent="0.25">
      <c r="C80" s="8">
        <v>16.666666666666668</v>
      </c>
      <c r="D80" s="8">
        <v>16.666666666666668</v>
      </c>
      <c r="E80">
        <v>16</v>
      </c>
      <c r="F80" s="8">
        <v>28.333333333333332</v>
      </c>
      <c r="G80" s="8">
        <v>18.333333333333332</v>
      </c>
      <c r="H80">
        <v>19</v>
      </c>
    </row>
    <row r="81" spans="3:8" x14ac:dyDescent="0.25">
      <c r="C81" s="8">
        <v>0</v>
      </c>
      <c r="D81" s="8">
        <v>0</v>
      </c>
      <c r="E81">
        <v>0</v>
      </c>
      <c r="F81" s="8">
        <v>33.333333333333336</v>
      </c>
      <c r="G81" s="8">
        <v>0</v>
      </c>
      <c r="H81">
        <v>0</v>
      </c>
    </row>
    <row r="82" spans="3:8" x14ac:dyDescent="0.25">
      <c r="C82" s="8">
        <v>11.333333333333334</v>
      </c>
      <c r="D82" s="8">
        <v>11.333333333333334</v>
      </c>
      <c r="E82">
        <v>11</v>
      </c>
      <c r="F82" s="8">
        <v>41.333333333333336</v>
      </c>
      <c r="G82" s="8">
        <v>12.333333333333334</v>
      </c>
      <c r="H82">
        <v>13</v>
      </c>
    </row>
    <row r="83" spans="3:8" x14ac:dyDescent="0.25">
      <c r="C83" s="8">
        <v>0</v>
      </c>
      <c r="D83" s="8">
        <v>0</v>
      </c>
      <c r="E83">
        <v>0</v>
      </c>
      <c r="F83" s="8">
        <v>33.333333333333336</v>
      </c>
      <c r="G83" s="8">
        <v>0</v>
      </c>
      <c r="H83">
        <v>0</v>
      </c>
    </row>
    <row r="84" spans="3:8" x14ac:dyDescent="0.25">
      <c r="C84" s="8">
        <v>11.333333333333334</v>
      </c>
      <c r="D84" s="8">
        <v>11.333333333333334</v>
      </c>
      <c r="E84">
        <v>11</v>
      </c>
      <c r="F84" s="8">
        <v>41.333333333333336</v>
      </c>
      <c r="G84" s="8">
        <v>12.333333333333334</v>
      </c>
      <c r="H84">
        <v>13</v>
      </c>
    </row>
    <row r="85" spans="3:8" x14ac:dyDescent="0.25">
      <c r="C85" s="8">
        <v>0</v>
      </c>
      <c r="D85" s="8">
        <v>0</v>
      </c>
      <c r="E85">
        <v>0</v>
      </c>
      <c r="F85" s="8">
        <v>16.666666666666668</v>
      </c>
      <c r="G85" s="8">
        <v>0</v>
      </c>
      <c r="H85">
        <v>0</v>
      </c>
    </row>
    <row r="86" spans="3:8" x14ac:dyDescent="0.25">
      <c r="C86" s="8">
        <v>98.666666666666671</v>
      </c>
      <c r="D86" s="8">
        <v>98.666666666666671</v>
      </c>
      <c r="E86">
        <v>99</v>
      </c>
      <c r="F86" s="8">
        <v>64</v>
      </c>
      <c r="G86" s="8">
        <v>97.5</v>
      </c>
      <c r="H86">
        <v>96</v>
      </c>
    </row>
    <row r="87" spans="3:8" x14ac:dyDescent="0.25">
      <c r="C87" s="8">
        <v>100</v>
      </c>
      <c r="D87" s="8">
        <v>100</v>
      </c>
      <c r="E87">
        <v>100</v>
      </c>
      <c r="F87" s="8">
        <v>68.333333333333329</v>
      </c>
      <c r="G87" s="8">
        <v>100</v>
      </c>
      <c r="H87">
        <v>100</v>
      </c>
    </row>
    <row r="88" spans="3:8" x14ac:dyDescent="0.25">
      <c r="C88" s="8">
        <v>98.666666666666671</v>
      </c>
      <c r="D88" s="8">
        <v>98.666666666666671</v>
      </c>
      <c r="E88">
        <v>99</v>
      </c>
      <c r="F88" s="8">
        <v>64</v>
      </c>
      <c r="G88" s="8">
        <v>97.5</v>
      </c>
      <c r="H88">
        <v>96</v>
      </c>
    </row>
    <row r="89" spans="3:8" x14ac:dyDescent="0.25">
      <c r="C89" s="8">
        <v>100</v>
      </c>
      <c r="D89" s="8">
        <v>100</v>
      </c>
      <c r="E89">
        <v>100</v>
      </c>
      <c r="F89" s="8">
        <v>68.333333333333329</v>
      </c>
      <c r="G89" s="8">
        <v>100</v>
      </c>
      <c r="H89">
        <v>100</v>
      </c>
    </row>
    <row r="90" spans="3:8" x14ac:dyDescent="0.25">
      <c r="C90" s="8">
        <v>98</v>
      </c>
      <c r="D90" s="8">
        <v>97.333333333333329</v>
      </c>
      <c r="E90">
        <v>99</v>
      </c>
      <c r="F90" s="8">
        <v>79</v>
      </c>
      <c r="G90" s="8">
        <v>96</v>
      </c>
      <c r="H90">
        <v>95</v>
      </c>
    </row>
    <row r="91" spans="3:8" x14ac:dyDescent="0.25">
      <c r="C91" s="8">
        <v>99.333333333333329</v>
      </c>
      <c r="D91" s="8">
        <v>99</v>
      </c>
      <c r="E91">
        <v>100</v>
      </c>
      <c r="F91" s="8">
        <v>83.5</v>
      </c>
      <c r="G91" s="8">
        <v>98.666666666666671</v>
      </c>
      <c r="H91">
        <v>98</v>
      </c>
    </row>
    <row r="92" spans="3:8" x14ac:dyDescent="0.25">
      <c r="C92" s="8">
        <v>98</v>
      </c>
      <c r="D92" s="8">
        <v>97.333333333333329</v>
      </c>
      <c r="E92">
        <v>99</v>
      </c>
      <c r="F92" s="8">
        <v>79</v>
      </c>
      <c r="G92" s="8">
        <v>96</v>
      </c>
      <c r="H92">
        <v>95</v>
      </c>
    </row>
    <row r="93" spans="3:8" x14ac:dyDescent="0.25">
      <c r="C93" s="8">
        <v>99.333333333333329</v>
      </c>
      <c r="D93" s="8">
        <v>99</v>
      </c>
      <c r="E93">
        <v>100</v>
      </c>
      <c r="F93" s="8">
        <v>83.5</v>
      </c>
      <c r="G93" s="8">
        <v>98.666666666666671</v>
      </c>
      <c r="H93">
        <v>98</v>
      </c>
    </row>
    <row r="94" spans="3:8" x14ac:dyDescent="0.25">
      <c r="C94" s="8">
        <v>98</v>
      </c>
      <c r="D94" s="8">
        <v>97.333333333333329</v>
      </c>
      <c r="E94">
        <v>99</v>
      </c>
      <c r="F94" s="8">
        <v>62.333333333333336</v>
      </c>
      <c r="G94" s="8">
        <v>96</v>
      </c>
      <c r="H94">
        <v>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2025-12-12T15:00:22Z</dcterms:modified>
</cp:coreProperties>
</file>