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Plastics\"/>
    </mc:Choice>
  </mc:AlternateContent>
  <xr:revisionPtr revIDLastSave="0" documentId="13_ncr:1_{22F7B27C-130F-45F5-89EA-AD791D12157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5" i="1" l="1"/>
  <c r="AA73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4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29" i="1"/>
  <c r="Y26" i="1"/>
  <c r="Y25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49" i="1"/>
  <c r="T49" i="1"/>
  <c r="U49" i="1"/>
  <c r="V49" i="1"/>
  <c r="W49" i="1"/>
  <c r="T50" i="1"/>
  <c r="U50" i="1"/>
  <c r="V50" i="1"/>
  <c r="W50" i="1"/>
  <c r="T51" i="1"/>
  <c r="U51" i="1"/>
  <c r="V51" i="1"/>
  <c r="W51" i="1"/>
  <c r="T52" i="1"/>
  <c r="U52" i="1"/>
  <c r="V52" i="1"/>
  <c r="W52" i="1"/>
  <c r="T53" i="1"/>
  <c r="U53" i="1"/>
  <c r="V53" i="1"/>
  <c r="W53" i="1"/>
  <c r="T54" i="1"/>
  <c r="U54" i="1"/>
  <c r="V54" i="1"/>
  <c r="W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T61" i="1"/>
  <c r="U61" i="1"/>
  <c r="V61" i="1"/>
  <c r="W61" i="1"/>
  <c r="T62" i="1"/>
  <c r="U62" i="1"/>
  <c r="V62" i="1"/>
  <c r="W62" i="1"/>
  <c r="T63" i="1"/>
  <c r="U63" i="1"/>
  <c r="V63" i="1"/>
  <c r="W63" i="1"/>
  <c r="T64" i="1"/>
  <c r="U64" i="1"/>
  <c r="V64" i="1"/>
  <c r="W64" i="1"/>
  <c r="T65" i="1"/>
  <c r="U65" i="1"/>
  <c r="V65" i="1"/>
  <c r="W65" i="1"/>
  <c r="T66" i="1"/>
  <c r="U66" i="1"/>
  <c r="V66" i="1"/>
  <c r="W66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4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29" i="1"/>
  <c r="T26" i="1"/>
  <c r="U26" i="1"/>
  <c r="V26" i="1"/>
  <c r="W26" i="1"/>
  <c r="S26" i="1"/>
  <c r="T25" i="1"/>
  <c r="U25" i="1"/>
  <c r="V25" i="1"/>
  <c r="W25" i="1"/>
  <c r="S25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4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29" i="1"/>
  <c r="Q26" i="1"/>
  <c r="Q25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4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9" i="1"/>
  <c r="J25" i="1"/>
  <c r="N26" i="1"/>
  <c r="M26" i="1"/>
  <c r="L26" i="1"/>
  <c r="K26" i="1"/>
  <c r="J26" i="1"/>
  <c r="N25" i="1"/>
  <c r="M25" i="1"/>
  <c r="L25" i="1"/>
  <c r="K25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49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D65" i="1"/>
  <c r="D66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9" i="1"/>
  <c r="D30" i="1"/>
  <c r="D29" i="1"/>
  <c r="D43" i="1"/>
  <c r="D44" i="1"/>
  <c r="D45" i="1"/>
  <c r="D46" i="1"/>
  <c r="D31" i="1"/>
  <c r="D32" i="1"/>
  <c r="D33" i="1"/>
  <c r="D34" i="1"/>
  <c r="D35" i="1"/>
  <c r="D36" i="1"/>
  <c r="D37" i="1"/>
  <c r="D38" i="1"/>
  <c r="D39" i="1"/>
  <c r="D40" i="1"/>
  <c r="D41" i="1"/>
  <c r="D42" i="1"/>
  <c r="E26" i="1"/>
  <c r="F26" i="1"/>
  <c r="G26" i="1"/>
  <c r="H26" i="1"/>
  <c r="D26" i="1"/>
  <c r="E25" i="1"/>
  <c r="F25" i="1"/>
  <c r="G25" i="1"/>
  <c r="H25" i="1"/>
  <c r="D25" i="1"/>
</calcChain>
</file>

<file path=xl/sharedStrings.xml><?xml version="1.0" encoding="utf-8"?>
<sst xmlns="http://schemas.openxmlformats.org/spreadsheetml/2006/main" count="73" uniqueCount="57">
  <si>
    <t>Employment Practices</t>
  </si>
  <si>
    <t>S1</t>
  </si>
  <si>
    <t>MAX</t>
  </si>
  <si>
    <t>K11</t>
  </si>
  <si>
    <t>K12</t>
  </si>
  <si>
    <t>K13</t>
  </si>
  <si>
    <t>K14</t>
  </si>
  <si>
    <t>K15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</si>
  <si>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</si>
  <si>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</si>
  <si>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</si>
  <si>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</si>
  <si>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</si>
  <si>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</si>
  <si>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</si>
  <si>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</si>
  <si>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</si>
  <si>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</si>
  <si>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</si>
  <si>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</si>
  <si>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</si>
  <si>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</si>
  <si>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</si>
  <si>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</si>
  <si>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</si>
  <si>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</si>
  <si>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min</t>
  </si>
  <si>
    <t>max</t>
  </si>
  <si>
    <t>Labor Standards &amp; Workplace Conditions</t>
  </si>
  <si>
    <t>S2</t>
  </si>
  <si>
    <t>K21</t>
  </si>
  <si>
    <t>K22</t>
  </si>
  <si>
    <t>K23</t>
  </si>
  <si>
    <t>K24</t>
  </si>
  <si>
    <t>K25</t>
  </si>
  <si>
    <t>Fair Compensation &amp; Benefits</t>
  </si>
  <si>
    <t>S3</t>
  </si>
  <si>
    <t>Ethical Practices</t>
  </si>
  <si>
    <t>S4</t>
  </si>
  <si>
    <t>K41</t>
  </si>
  <si>
    <t>Health &amp; Safety</t>
  </si>
  <si>
    <t>S5</t>
  </si>
  <si>
    <t>K51</t>
  </si>
  <si>
    <t>K52</t>
  </si>
  <si>
    <t>K53</t>
  </si>
  <si>
    <t>K54</t>
  </si>
  <si>
    <t>K55</t>
  </si>
  <si>
    <t>Governance &amp; Reporting</t>
  </si>
  <si>
    <t>S6</t>
  </si>
  <si>
    <t>K61</t>
  </si>
  <si>
    <t>Impacts on Society</t>
  </si>
  <si>
    <t>S7</t>
  </si>
  <si>
    <t>W1</t>
  </si>
  <si>
    <t>W2</t>
  </si>
  <si>
    <t>W4</t>
  </si>
  <si>
    <t>W5</t>
  </si>
  <si>
    <t>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</si>
</sst>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202124"/>
      <name val="Robo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tabSelected="1" topLeftCell="A56" zoomScale="80" zoomScaleNormal="80" workbookViewId="0">
      <selection activeCell="C77" sqref="C77"/>
    </sheetView>
  </sheetViews>
  <sheetFormatPr defaultRowHeight="15" x14ac:dyDescent="0.25"/>
  <cols>
    <col min="3" max="3" width="23.28515625" bestFit="1" customWidth="1"/>
    <col min="9" max="9" width="41.7109375" bestFit="1" customWidth="1"/>
    <col min="15" max="15" width="30.42578125" bestFit="1" customWidth="1"/>
    <col min="16" max="16" width="17.7109375" bestFit="1" customWidth="1"/>
    <col min="18" max="18" width="16.42578125" bestFit="1" customWidth="1"/>
    <col min="24" max="24" width="25" bestFit="1" customWidth="1"/>
    <col min="26" max="26" width="19.85546875" bestFit="1" customWidth="1"/>
  </cols>
  <sheetData>
    <row r="1" spans="1:26" x14ac:dyDescent="0.25">
      <c r="C1" s="1" t="s">
        <v>0</v>
      </c>
      <c r="I1" s="1" t="s">
        <v>28</v>
      </c>
      <c r="O1" s="3" t="s">
        <v>35</v>
      </c>
      <c r="P1" s="1" t="s">
        <v>37</v>
      </c>
      <c r="R1" s="1" t="s">
        <v>40</v>
      </c>
      <c r="X1" s="1" t="s">
        <v>47</v>
      </c>
      <c r="Z1" s="3" t="s">
        <v>50</v>
      </c>
    </row>
    <row r="2" spans="1:26" x14ac:dyDescent="0.25">
      <c r="C2" s="2" t="s">
        <v>1</v>
      </c>
      <c r="I2" s="2" t="s">
        <v>29</v>
      </c>
      <c r="O2" s="4" t="s">
        <v>36</v>
      </c>
      <c r="P2" s="2" t="s">
        <v>38</v>
      </c>
      <c r="R2" s="2" t="s">
        <v>41</v>
      </c>
      <c r="X2" s="2" t="s">
        <v>48</v>
      </c>
      <c r="Z2" s="4" t="s">
        <v>51</v>
      </c>
    </row>
    <row r="3" spans="1:26" x14ac:dyDescent="0.25">
      <c r="D3" t="s">
        <v>2</v>
      </c>
      <c r="E3" t="s">
        <v>2</v>
      </c>
      <c r="F3" t="s">
        <v>2</v>
      </c>
      <c r="G3" t="s">
        <v>2</v>
      </c>
      <c r="H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Q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Y3" t="s">
        <v>2</v>
      </c>
    </row>
    <row r="4" spans="1:26" x14ac:dyDescent="0.25">
      <c r="D4" t="s">
        <v>3</v>
      </c>
      <c r="E4" t="s">
        <v>4</v>
      </c>
      <c r="F4" t="s">
        <v>5</v>
      </c>
      <c r="G4" t="s">
        <v>6</v>
      </c>
      <c r="H4" t="s">
        <v>7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Q4" t="s">
        <v>39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Y4" t="s">
        <v>49</v>
      </c>
    </row>
    <row r="5" spans="1:26" x14ac:dyDescent="0.25">
      <c r="A5" t="s">
        <v>8</v>
      </c>
      <c r="D5">
        <v>4</v>
      </c>
      <c r="E5">
        <v>4</v>
      </c>
      <c r="F5">
        <v>4</v>
      </c>
      <c r="G5">
        <v>4</v>
      </c>
      <c r="H5">
        <v>4</v>
      </c>
      <c r="J5">
        <v>4</v>
      </c>
      <c r="K5">
        <v>4</v>
      </c>
      <c r="L5">
        <v>4</v>
      </c>
      <c r="M5">
        <v>3</v>
      </c>
      <c r="N5">
        <v>3</v>
      </c>
      <c r="Q5">
        <v>4</v>
      </c>
      <c r="S5">
        <v>4</v>
      </c>
      <c r="T5">
        <v>4</v>
      </c>
      <c r="U5">
        <v>5</v>
      </c>
      <c r="V5">
        <v>4</v>
      </c>
      <c r="W5">
        <v>5</v>
      </c>
      <c r="Y5">
        <v>4</v>
      </c>
    </row>
    <row r="6" spans="1:26" x14ac:dyDescent="0.25">
      <c r="A6" t="s">
        <v>9</v>
      </c>
      <c r="D6">
        <v>4</v>
      </c>
      <c r="E6">
        <v>4</v>
      </c>
      <c r="F6">
        <v>4</v>
      </c>
      <c r="G6">
        <v>4</v>
      </c>
      <c r="H6">
        <v>4</v>
      </c>
      <c r="J6">
        <v>4</v>
      </c>
      <c r="K6">
        <v>4</v>
      </c>
      <c r="L6">
        <v>5</v>
      </c>
      <c r="M6">
        <v>4</v>
      </c>
      <c r="N6">
        <v>4</v>
      </c>
      <c r="Q6">
        <v>4</v>
      </c>
      <c r="S6">
        <v>4</v>
      </c>
      <c r="T6">
        <v>4</v>
      </c>
      <c r="U6">
        <v>5</v>
      </c>
      <c r="V6">
        <v>4</v>
      </c>
      <c r="W6">
        <v>5</v>
      </c>
      <c r="Y6">
        <v>4</v>
      </c>
    </row>
    <row r="7" spans="1:26" x14ac:dyDescent="0.25">
      <c r="A7" t="s">
        <v>10</v>
      </c>
      <c r="D7">
        <v>4</v>
      </c>
      <c r="E7">
        <v>4</v>
      </c>
      <c r="F7">
        <v>4</v>
      </c>
      <c r="G7">
        <v>4</v>
      </c>
      <c r="H7">
        <v>4</v>
      </c>
      <c r="J7">
        <v>4</v>
      </c>
      <c r="K7">
        <v>4</v>
      </c>
      <c r="L7">
        <v>4</v>
      </c>
      <c r="M7">
        <v>3</v>
      </c>
      <c r="N7">
        <v>3</v>
      </c>
      <c r="Q7">
        <v>3</v>
      </c>
      <c r="S7">
        <v>4</v>
      </c>
      <c r="T7">
        <v>4</v>
      </c>
      <c r="U7">
        <v>5</v>
      </c>
      <c r="V7">
        <v>4</v>
      </c>
      <c r="W7">
        <v>5</v>
      </c>
      <c r="Y7">
        <v>4</v>
      </c>
    </row>
    <row r="8" spans="1:26" x14ac:dyDescent="0.25">
      <c r="A8" t="s">
        <v>11</v>
      </c>
      <c r="D8">
        <v>4</v>
      </c>
      <c r="E8">
        <v>4</v>
      </c>
      <c r="F8">
        <v>4</v>
      </c>
      <c r="G8">
        <v>4</v>
      </c>
      <c r="H8">
        <v>4</v>
      </c>
      <c r="J8">
        <v>4</v>
      </c>
      <c r="K8">
        <v>4</v>
      </c>
      <c r="L8">
        <v>5</v>
      </c>
      <c r="M8">
        <v>4</v>
      </c>
      <c r="N8">
        <v>4</v>
      </c>
      <c r="Q8">
        <v>3</v>
      </c>
      <c r="S8">
        <v>4</v>
      </c>
      <c r="T8">
        <v>4</v>
      </c>
      <c r="U8">
        <v>5</v>
      </c>
      <c r="V8">
        <v>4</v>
      </c>
      <c r="W8">
        <v>5</v>
      </c>
      <c r="Y8">
        <v>4</v>
      </c>
    </row>
    <row r="9" spans="1:26" x14ac:dyDescent="0.25">
      <c r="A9" t="s">
        <v>12</v>
      </c>
      <c r="D9">
        <v>3</v>
      </c>
      <c r="E9">
        <v>3</v>
      </c>
      <c r="F9">
        <v>3</v>
      </c>
      <c r="G9">
        <v>3</v>
      </c>
      <c r="H9">
        <v>3</v>
      </c>
      <c r="J9">
        <v>3</v>
      </c>
      <c r="K9">
        <v>3</v>
      </c>
      <c r="L9">
        <v>3</v>
      </c>
      <c r="M9">
        <v>3</v>
      </c>
      <c r="N9">
        <v>2</v>
      </c>
      <c r="Q9">
        <v>4</v>
      </c>
      <c r="S9">
        <v>3</v>
      </c>
      <c r="T9">
        <v>3</v>
      </c>
      <c r="U9">
        <v>5</v>
      </c>
      <c r="V9">
        <v>3</v>
      </c>
      <c r="W9">
        <v>4</v>
      </c>
      <c r="Y9">
        <v>3</v>
      </c>
    </row>
    <row r="10" spans="1:26" x14ac:dyDescent="0.25">
      <c r="A10" t="s">
        <v>13</v>
      </c>
      <c r="D10">
        <v>3</v>
      </c>
      <c r="E10">
        <v>3</v>
      </c>
      <c r="F10">
        <v>3</v>
      </c>
      <c r="G10">
        <v>3</v>
      </c>
      <c r="H10">
        <v>3</v>
      </c>
      <c r="J10">
        <v>3</v>
      </c>
      <c r="K10">
        <v>3</v>
      </c>
      <c r="L10">
        <v>4</v>
      </c>
      <c r="M10">
        <v>4</v>
      </c>
      <c r="N10">
        <v>3</v>
      </c>
      <c r="Q10">
        <v>4</v>
      </c>
      <c r="S10">
        <v>3</v>
      </c>
      <c r="T10">
        <v>3</v>
      </c>
      <c r="U10">
        <v>5</v>
      </c>
      <c r="V10">
        <v>3</v>
      </c>
      <c r="W10">
        <v>4</v>
      </c>
      <c r="Y10">
        <v>3</v>
      </c>
    </row>
    <row r="11" spans="1:26" x14ac:dyDescent="0.25">
      <c r="A11" t="s">
        <v>14</v>
      </c>
      <c r="D11">
        <v>3</v>
      </c>
      <c r="E11">
        <v>3</v>
      </c>
      <c r="F11">
        <v>3</v>
      </c>
      <c r="G11">
        <v>3</v>
      </c>
      <c r="H11">
        <v>3</v>
      </c>
      <c r="J11">
        <v>3</v>
      </c>
      <c r="K11">
        <v>3</v>
      </c>
      <c r="L11">
        <v>3</v>
      </c>
      <c r="M11">
        <v>3</v>
      </c>
      <c r="N11">
        <v>2</v>
      </c>
      <c r="Q11">
        <v>3</v>
      </c>
      <c r="S11">
        <v>3</v>
      </c>
      <c r="T11">
        <v>3</v>
      </c>
      <c r="U11">
        <v>5</v>
      </c>
      <c r="V11">
        <v>3</v>
      </c>
      <c r="W11">
        <v>4</v>
      </c>
      <c r="Y11">
        <v>3</v>
      </c>
    </row>
    <row r="12" spans="1:26" x14ac:dyDescent="0.25">
      <c r="A12" t="s">
        <v>15</v>
      </c>
      <c r="D12">
        <v>3</v>
      </c>
      <c r="E12">
        <v>3</v>
      </c>
      <c r="F12">
        <v>3</v>
      </c>
      <c r="G12">
        <v>3</v>
      </c>
      <c r="H12">
        <v>3</v>
      </c>
      <c r="J12">
        <v>3</v>
      </c>
      <c r="K12">
        <v>3</v>
      </c>
      <c r="L12">
        <v>4</v>
      </c>
      <c r="M12">
        <v>4</v>
      </c>
      <c r="N12">
        <v>3</v>
      </c>
      <c r="Q12">
        <v>3</v>
      </c>
      <c r="S12">
        <v>3</v>
      </c>
      <c r="T12">
        <v>3</v>
      </c>
      <c r="U12">
        <v>5</v>
      </c>
      <c r="V12">
        <v>3</v>
      </c>
      <c r="W12">
        <v>4</v>
      </c>
      <c r="Y12">
        <v>3</v>
      </c>
    </row>
    <row r="13" spans="1:26" x14ac:dyDescent="0.25">
      <c r="A13" t="s">
        <v>16</v>
      </c>
      <c r="D13">
        <v>3</v>
      </c>
      <c r="E13">
        <v>3</v>
      </c>
      <c r="F13">
        <v>3</v>
      </c>
      <c r="G13">
        <v>3</v>
      </c>
      <c r="H13">
        <v>3</v>
      </c>
      <c r="J13">
        <v>3</v>
      </c>
      <c r="K13">
        <v>3</v>
      </c>
      <c r="L13">
        <v>3</v>
      </c>
      <c r="M13">
        <v>3</v>
      </c>
      <c r="N13">
        <v>2</v>
      </c>
      <c r="Q13">
        <v>3</v>
      </c>
      <c r="S13">
        <v>3</v>
      </c>
      <c r="T13">
        <v>3</v>
      </c>
      <c r="U13">
        <v>5</v>
      </c>
      <c r="V13">
        <v>3</v>
      </c>
      <c r="W13">
        <v>4</v>
      </c>
      <c r="Y13">
        <v>3</v>
      </c>
    </row>
    <row r="14" spans="1:26" x14ac:dyDescent="0.25">
      <c r="A14" t="s">
        <v>17</v>
      </c>
      <c r="D14">
        <v>4</v>
      </c>
      <c r="E14">
        <v>4</v>
      </c>
      <c r="F14">
        <v>4</v>
      </c>
      <c r="G14">
        <v>4</v>
      </c>
      <c r="H14">
        <v>4</v>
      </c>
      <c r="J14">
        <v>4</v>
      </c>
      <c r="K14">
        <v>4</v>
      </c>
      <c r="L14">
        <v>4</v>
      </c>
      <c r="M14">
        <v>3</v>
      </c>
      <c r="N14">
        <v>3</v>
      </c>
      <c r="Q14">
        <v>4</v>
      </c>
      <c r="S14">
        <v>4</v>
      </c>
      <c r="T14">
        <v>4</v>
      </c>
      <c r="U14">
        <v>5</v>
      </c>
      <c r="V14">
        <v>4</v>
      </c>
      <c r="W14">
        <v>5</v>
      </c>
      <c r="Y14">
        <v>4</v>
      </c>
    </row>
    <row r="15" spans="1:26" x14ac:dyDescent="0.25">
      <c r="A15" t="s">
        <v>18</v>
      </c>
      <c r="D15">
        <v>4</v>
      </c>
      <c r="E15">
        <v>4</v>
      </c>
      <c r="F15">
        <v>4</v>
      </c>
      <c r="G15">
        <v>4</v>
      </c>
      <c r="H15">
        <v>4</v>
      </c>
      <c r="J15">
        <v>4</v>
      </c>
      <c r="K15">
        <v>4</v>
      </c>
      <c r="L15">
        <v>5</v>
      </c>
      <c r="M15">
        <v>4</v>
      </c>
      <c r="N15">
        <v>4</v>
      </c>
      <c r="Q15">
        <v>4</v>
      </c>
      <c r="S15">
        <v>4</v>
      </c>
      <c r="T15">
        <v>4</v>
      </c>
      <c r="U15">
        <v>5</v>
      </c>
      <c r="V15">
        <v>4</v>
      </c>
      <c r="W15">
        <v>5</v>
      </c>
      <c r="Y15">
        <v>4</v>
      </c>
    </row>
    <row r="16" spans="1:26" x14ac:dyDescent="0.25">
      <c r="A16" t="s">
        <v>19</v>
      </c>
      <c r="D16">
        <v>4</v>
      </c>
      <c r="E16">
        <v>4</v>
      </c>
      <c r="F16">
        <v>4</v>
      </c>
      <c r="G16">
        <v>4</v>
      </c>
      <c r="H16">
        <v>4</v>
      </c>
      <c r="J16">
        <v>4</v>
      </c>
      <c r="K16">
        <v>4</v>
      </c>
      <c r="L16">
        <v>4</v>
      </c>
      <c r="M16">
        <v>3</v>
      </c>
      <c r="N16">
        <v>3</v>
      </c>
      <c r="Q16">
        <v>3</v>
      </c>
      <c r="S16">
        <v>4</v>
      </c>
      <c r="T16">
        <v>4</v>
      </c>
      <c r="U16">
        <v>5</v>
      </c>
      <c r="V16">
        <v>4</v>
      </c>
      <c r="W16">
        <v>5</v>
      </c>
      <c r="Y16">
        <v>4</v>
      </c>
    </row>
    <row r="17" spans="1:25" x14ac:dyDescent="0.25">
      <c r="A17" t="s">
        <v>20</v>
      </c>
      <c r="D17">
        <v>4</v>
      </c>
      <c r="E17">
        <v>4</v>
      </c>
      <c r="F17">
        <v>4</v>
      </c>
      <c r="G17">
        <v>4</v>
      </c>
      <c r="H17">
        <v>4</v>
      </c>
      <c r="J17">
        <v>4</v>
      </c>
      <c r="K17">
        <v>4</v>
      </c>
      <c r="L17">
        <v>5</v>
      </c>
      <c r="M17">
        <v>4</v>
      </c>
      <c r="N17">
        <v>4</v>
      </c>
      <c r="Q17">
        <v>3</v>
      </c>
      <c r="S17">
        <v>4</v>
      </c>
      <c r="T17">
        <v>4</v>
      </c>
      <c r="U17">
        <v>5</v>
      </c>
      <c r="V17">
        <v>4</v>
      </c>
      <c r="W17">
        <v>5</v>
      </c>
      <c r="Y17">
        <v>4</v>
      </c>
    </row>
    <row r="18" spans="1:25" x14ac:dyDescent="0.25">
      <c r="A18" t="s">
        <v>21</v>
      </c>
      <c r="D18">
        <v>3</v>
      </c>
      <c r="E18">
        <v>3</v>
      </c>
      <c r="F18">
        <v>3</v>
      </c>
      <c r="G18">
        <v>3</v>
      </c>
      <c r="H18">
        <v>3</v>
      </c>
      <c r="J18">
        <v>3</v>
      </c>
      <c r="K18">
        <v>3</v>
      </c>
      <c r="L18">
        <v>3</v>
      </c>
      <c r="M18">
        <v>3</v>
      </c>
      <c r="N18">
        <v>2</v>
      </c>
      <c r="Q18">
        <v>4</v>
      </c>
      <c r="S18">
        <v>3</v>
      </c>
      <c r="T18">
        <v>3</v>
      </c>
      <c r="U18">
        <v>5</v>
      </c>
      <c r="V18">
        <v>3</v>
      </c>
      <c r="W18">
        <v>4</v>
      </c>
      <c r="Y18">
        <v>3</v>
      </c>
    </row>
    <row r="19" spans="1:25" x14ac:dyDescent="0.25">
      <c r="A19" t="s">
        <v>22</v>
      </c>
      <c r="D19">
        <v>3</v>
      </c>
      <c r="E19">
        <v>3</v>
      </c>
      <c r="F19">
        <v>3</v>
      </c>
      <c r="G19">
        <v>3</v>
      </c>
      <c r="H19">
        <v>3</v>
      </c>
      <c r="J19">
        <v>3</v>
      </c>
      <c r="K19">
        <v>3</v>
      </c>
      <c r="L19">
        <v>4</v>
      </c>
      <c r="M19">
        <v>4</v>
      </c>
      <c r="N19">
        <v>3</v>
      </c>
      <c r="Q19">
        <v>4</v>
      </c>
      <c r="S19">
        <v>3</v>
      </c>
      <c r="T19">
        <v>3</v>
      </c>
      <c r="U19">
        <v>5</v>
      </c>
      <c r="V19">
        <v>3</v>
      </c>
      <c r="W19">
        <v>4</v>
      </c>
      <c r="Y19">
        <v>3</v>
      </c>
    </row>
    <row r="20" spans="1:25" x14ac:dyDescent="0.25">
      <c r="A20" t="s">
        <v>23</v>
      </c>
      <c r="D20">
        <v>3</v>
      </c>
      <c r="E20">
        <v>3</v>
      </c>
      <c r="F20">
        <v>3</v>
      </c>
      <c r="G20">
        <v>3</v>
      </c>
      <c r="H20">
        <v>3</v>
      </c>
      <c r="J20">
        <v>3</v>
      </c>
      <c r="K20">
        <v>3</v>
      </c>
      <c r="L20">
        <v>3</v>
      </c>
      <c r="M20">
        <v>3</v>
      </c>
      <c r="N20">
        <v>2</v>
      </c>
      <c r="Q20">
        <v>3</v>
      </c>
      <c r="S20">
        <v>3</v>
      </c>
      <c r="T20">
        <v>3</v>
      </c>
      <c r="U20">
        <v>5</v>
      </c>
      <c r="V20">
        <v>3</v>
      </c>
      <c r="W20">
        <v>4</v>
      </c>
      <c r="Y20">
        <v>3</v>
      </c>
    </row>
    <row r="21" spans="1:25" x14ac:dyDescent="0.25">
      <c r="A21" t="s">
        <v>24</v>
      </c>
      <c r="D21">
        <v>3</v>
      </c>
      <c r="E21">
        <v>3</v>
      </c>
      <c r="F21">
        <v>3</v>
      </c>
      <c r="G21">
        <v>3</v>
      </c>
      <c r="H21">
        <v>3</v>
      </c>
      <c r="J21">
        <v>3</v>
      </c>
      <c r="K21">
        <v>3</v>
      </c>
      <c r="L21">
        <v>4</v>
      </c>
      <c r="M21">
        <v>4</v>
      </c>
      <c r="N21">
        <v>3</v>
      </c>
      <c r="Q21">
        <v>3</v>
      </c>
      <c r="S21">
        <v>3</v>
      </c>
      <c r="T21">
        <v>3</v>
      </c>
      <c r="U21">
        <v>5</v>
      </c>
      <c r="V21">
        <v>3</v>
      </c>
      <c r="W21">
        <v>4</v>
      </c>
      <c r="Y21">
        <v>3</v>
      </c>
    </row>
    <row r="22" spans="1:25" x14ac:dyDescent="0.25">
      <c r="A22" t="s">
        <v>25</v>
      </c>
      <c r="D22">
        <v>3</v>
      </c>
      <c r="E22">
        <v>3</v>
      </c>
      <c r="F22">
        <v>3</v>
      </c>
      <c r="G22">
        <v>3</v>
      </c>
      <c r="H22">
        <v>3</v>
      </c>
      <c r="J22">
        <v>3</v>
      </c>
      <c r="K22">
        <v>3</v>
      </c>
      <c r="L22">
        <v>3</v>
      </c>
      <c r="M22">
        <v>3</v>
      </c>
      <c r="N22">
        <v>2</v>
      </c>
      <c r="Q22">
        <v>3</v>
      </c>
      <c r="S22">
        <v>3</v>
      </c>
      <c r="T22">
        <v>3</v>
      </c>
      <c r="U22">
        <v>5</v>
      </c>
      <c r="V22">
        <v>3</v>
      </c>
      <c r="W22">
        <v>4</v>
      </c>
      <c r="Y22">
        <v>3</v>
      </c>
    </row>
    <row r="25" spans="1:25" x14ac:dyDescent="0.25">
      <c r="A25" t="s">
        <v>26</v>
      </c>
      <c r="D25">
        <f>MIN(D5:D22)</f>
        <v>3</v>
      </c>
      <c r="E25">
        <f t="shared" ref="E25:H25" si="0">MIN(E5:E22)</f>
        <v>3</v>
      </c>
      <c r="F25">
        <f t="shared" si="0"/>
        <v>3</v>
      </c>
      <c r="G25">
        <f t="shared" si="0"/>
        <v>3</v>
      </c>
      <c r="H25">
        <f t="shared" si="0"/>
        <v>3</v>
      </c>
      <c r="J25">
        <f>MIN(J5:J22)</f>
        <v>3</v>
      </c>
      <c r="K25">
        <f t="shared" ref="K25:N25" si="1">MIN(K5:K22)</f>
        <v>3</v>
      </c>
      <c r="L25">
        <f t="shared" si="1"/>
        <v>3</v>
      </c>
      <c r="M25">
        <f t="shared" si="1"/>
        <v>3</v>
      </c>
      <c r="N25">
        <f t="shared" si="1"/>
        <v>2</v>
      </c>
      <c r="Q25">
        <f>MIN(Q5:Q22)</f>
        <v>3</v>
      </c>
      <c r="S25">
        <f>MIN(S5:S22)</f>
        <v>3</v>
      </c>
      <c r="T25">
        <f t="shared" ref="T25:W25" si="2">MIN(T5:T22)</f>
        <v>3</v>
      </c>
      <c r="U25">
        <f t="shared" si="2"/>
        <v>5</v>
      </c>
      <c r="V25">
        <f t="shared" si="2"/>
        <v>3</v>
      </c>
      <c r="W25">
        <f t="shared" si="2"/>
        <v>4</v>
      </c>
      <c r="Y25">
        <f>MIN(Y5:Y22)</f>
        <v>3</v>
      </c>
    </row>
    <row r="26" spans="1:25" x14ac:dyDescent="0.25">
      <c r="A26" t="s">
        <v>27</v>
      </c>
      <c r="D26">
        <f>MAX(D5:D22)</f>
        <v>4</v>
      </c>
      <c r="E26">
        <f t="shared" ref="E26:H26" si="3">MAX(E5:E22)</f>
        <v>4</v>
      </c>
      <c r="F26">
        <f t="shared" si="3"/>
        <v>4</v>
      </c>
      <c r="G26">
        <f t="shared" si="3"/>
        <v>4</v>
      </c>
      <c r="H26">
        <f t="shared" si="3"/>
        <v>4</v>
      </c>
      <c r="J26">
        <f>MAX(J5:J22)</f>
        <v>4</v>
      </c>
      <c r="K26">
        <f t="shared" ref="K26:N26" si="4">MAX(K5:K22)</f>
        <v>4</v>
      </c>
      <c r="L26">
        <f t="shared" si="4"/>
        <v>5</v>
      </c>
      <c r="M26">
        <f t="shared" si="4"/>
        <v>4</v>
      </c>
      <c r="N26">
        <f t="shared" si="4"/>
        <v>4</v>
      </c>
      <c r="Q26">
        <f>MAX(Q5:Q22)</f>
        <v>4</v>
      </c>
      <c r="S26">
        <f>MAX(S5:S22)</f>
        <v>4</v>
      </c>
      <c r="T26">
        <f t="shared" ref="T26:W26" si="5">MAX(T5:T22)</f>
        <v>4</v>
      </c>
      <c r="U26">
        <f t="shared" si="5"/>
        <v>5</v>
      </c>
      <c r="V26">
        <f t="shared" si="5"/>
        <v>4</v>
      </c>
      <c r="W26">
        <f t="shared" si="5"/>
        <v>5</v>
      </c>
      <c r="Y26">
        <f>MAX(Y5:Y22)</f>
        <v>4</v>
      </c>
    </row>
    <row r="29" spans="1:25" x14ac:dyDescent="0.25">
      <c r="D29">
        <f>(D5-$D$25)/($D$26-$D$25)</f>
        <v>1</v>
      </c>
      <c r="E29">
        <f>(E5-$E$25)/($E$26-$E$25)</f>
        <v>1</v>
      </c>
      <c r="F29">
        <f>(F5-$F$25)/($F$26-$F$25)</f>
        <v>1</v>
      </c>
      <c r="G29">
        <f>(G5-$G$25)/($G$26-$G$25)</f>
        <v>1</v>
      </c>
      <c r="H29">
        <f>(H5-$H$25)/($H$26-$H$25)</f>
        <v>1</v>
      </c>
      <c r="J29">
        <f>(J5-$J$25)/($J$26-$J$25)</f>
        <v>1</v>
      </c>
      <c r="K29">
        <f>(K5-$K$25)/($K$26-$K$25)</f>
        <v>1</v>
      </c>
      <c r="L29">
        <f>(L5-$L$25)/($L$26-$L$25)</f>
        <v>0.5</v>
      </c>
      <c r="M29">
        <f>(M5-$M$25)/($M$26-$M$25)</f>
        <v>0</v>
      </c>
      <c r="N29">
        <f>(N5-$N$25)/($N$26-$N$25)</f>
        <v>0.5</v>
      </c>
      <c r="Q29">
        <f>(Q5-$Q$25)/($Q$26-$Q$25)</f>
        <v>1</v>
      </c>
      <c r="S29">
        <f>(S5-$S$25)/($S$26-$S$25)</f>
        <v>1</v>
      </c>
      <c r="T29">
        <f>(T5-$T$25)/($T$26-$T$25)</f>
        <v>1</v>
      </c>
      <c r="U29" t="e">
        <f>(U5-$U$25)/($U$26-$U$25)</f>
        <v>#DIV/0!</v>
      </c>
      <c r="V29">
        <f>(V5-$V$25)/($V$26-$V$25)</f>
        <v>1</v>
      </c>
      <c r="W29">
        <f>(W5-$W$25)/($W$26-$W$25)</f>
        <v>1</v>
      </c>
      <c r="Y29">
        <f>(Y5-$Y$25)/($Y$26-$Y$25)</f>
        <v>1</v>
      </c>
    </row>
    <row r="30" spans="1:25" x14ac:dyDescent="0.25">
      <c r="D30">
        <f>(D6-$D$25)/($D$26-$D$25)</f>
        <v>1</v>
      </c>
      <c r="E30">
        <f t="shared" ref="E30:E46" si="6">(E6-$E$25)/($E$26-$E$25)</f>
        <v>1</v>
      </c>
      <c r="F30">
        <f t="shared" ref="F30:F46" si="7">(F6-$F$25)/($F$26-$F$25)</f>
        <v>1</v>
      </c>
      <c r="G30">
        <f t="shared" ref="G30:G46" si="8">(G6-$G$25)/($G$26-$G$25)</f>
        <v>1</v>
      </c>
      <c r="H30">
        <f t="shared" ref="H30:H46" si="9">(H6-$H$25)/($H$26-$H$25)</f>
        <v>1</v>
      </c>
      <c r="J30">
        <f t="shared" ref="J30:J46" si="10">(J6-$J$25)/($J$26-$J$25)</f>
        <v>1</v>
      </c>
      <c r="K30">
        <f t="shared" ref="K30:K46" si="11">(K6-$K$25)/($K$26-$K$25)</f>
        <v>1</v>
      </c>
      <c r="L30">
        <f t="shared" ref="L30:L46" si="12">(L6-$L$25)/($L$26-$L$25)</f>
        <v>1</v>
      </c>
      <c r="M30">
        <f t="shared" ref="M30:M46" si="13">(M6-$M$25)/($M$26-$M$25)</f>
        <v>1</v>
      </c>
      <c r="N30">
        <f t="shared" ref="N30:N46" si="14">(N6-$N$25)/($N$26-$N$25)</f>
        <v>1</v>
      </c>
      <c r="Q30">
        <f t="shared" ref="Q30:Q46" si="15">(Q6-$Q$25)/($Q$26-$Q$25)</f>
        <v>1</v>
      </c>
      <c r="S30">
        <f t="shared" ref="S30:S46" si="16">(S6-$S$25)/($S$26-$S$25)</f>
        <v>1</v>
      </c>
      <c r="T30">
        <f t="shared" ref="T30:T46" si="17">(T6-$T$25)/($T$26-$T$25)</f>
        <v>1</v>
      </c>
      <c r="U30" t="e">
        <f t="shared" ref="U30:U46" si="18">(U6-$U$25)/($U$26-$U$25)</f>
        <v>#DIV/0!</v>
      </c>
      <c r="V30">
        <f t="shared" ref="V30:V46" si="19">(V6-$V$25)/($V$26-$V$25)</f>
        <v>1</v>
      </c>
      <c r="W30">
        <f t="shared" ref="W30:W46" si="20">(W6-$W$25)/($W$26-$W$25)</f>
        <v>1</v>
      </c>
      <c r="Y30">
        <f t="shared" ref="Y30:Y46" si="21">(Y6-$Y$25)/($Y$26-$Y$25)</f>
        <v>1</v>
      </c>
    </row>
    <row r="31" spans="1:25" x14ac:dyDescent="0.25">
      <c r="D31">
        <f t="shared" ref="D31:D46" si="22">(D7-$D$25)/($D$26-$D$25)</f>
        <v>1</v>
      </c>
      <c r="E31">
        <f t="shared" si="6"/>
        <v>1</v>
      </c>
      <c r="F31">
        <f t="shared" si="7"/>
        <v>1</v>
      </c>
      <c r="G31">
        <f t="shared" si="8"/>
        <v>1</v>
      </c>
      <c r="H31">
        <f t="shared" si="9"/>
        <v>1</v>
      </c>
      <c r="J31">
        <f t="shared" si="10"/>
        <v>1</v>
      </c>
      <c r="K31">
        <f t="shared" si="11"/>
        <v>1</v>
      </c>
      <c r="L31">
        <f t="shared" si="12"/>
        <v>0.5</v>
      </c>
      <c r="M31">
        <f t="shared" si="13"/>
        <v>0</v>
      </c>
      <c r="N31">
        <f t="shared" si="14"/>
        <v>0.5</v>
      </c>
      <c r="Q31">
        <f t="shared" si="15"/>
        <v>0</v>
      </c>
      <c r="S31">
        <f t="shared" si="16"/>
        <v>1</v>
      </c>
      <c r="T31">
        <f t="shared" si="17"/>
        <v>1</v>
      </c>
      <c r="U31" t="e">
        <f t="shared" si="18"/>
        <v>#DIV/0!</v>
      </c>
      <c r="V31">
        <f t="shared" si="19"/>
        <v>1</v>
      </c>
      <c r="W31">
        <f t="shared" si="20"/>
        <v>1</v>
      </c>
      <c r="Y31">
        <f t="shared" si="21"/>
        <v>1</v>
      </c>
    </row>
    <row r="32" spans="1:25" x14ac:dyDescent="0.25">
      <c r="D32">
        <f t="shared" si="22"/>
        <v>1</v>
      </c>
      <c r="E32">
        <f t="shared" si="6"/>
        <v>1</v>
      </c>
      <c r="F32">
        <f t="shared" si="7"/>
        <v>1</v>
      </c>
      <c r="G32">
        <f t="shared" si="8"/>
        <v>1</v>
      </c>
      <c r="H32">
        <f t="shared" si="9"/>
        <v>1</v>
      </c>
      <c r="J32">
        <f t="shared" si="10"/>
        <v>1</v>
      </c>
      <c r="K32">
        <f t="shared" si="11"/>
        <v>1</v>
      </c>
      <c r="L32">
        <f t="shared" si="12"/>
        <v>1</v>
      </c>
      <c r="M32">
        <f t="shared" si="13"/>
        <v>1</v>
      </c>
      <c r="N32">
        <f t="shared" si="14"/>
        <v>1</v>
      </c>
      <c r="Q32">
        <f t="shared" si="15"/>
        <v>0</v>
      </c>
      <c r="S32">
        <f t="shared" si="16"/>
        <v>1</v>
      </c>
      <c r="T32">
        <f t="shared" si="17"/>
        <v>1</v>
      </c>
      <c r="U32" t="e">
        <f t="shared" si="18"/>
        <v>#DIV/0!</v>
      </c>
      <c r="V32">
        <f t="shared" si="19"/>
        <v>1</v>
      </c>
      <c r="W32">
        <f t="shared" si="20"/>
        <v>1</v>
      </c>
      <c r="Y32">
        <f t="shared" si="21"/>
        <v>1</v>
      </c>
    </row>
    <row r="33" spans="4:25" x14ac:dyDescent="0.25">
      <c r="D33">
        <f t="shared" si="22"/>
        <v>0</v>
      </c>
      <c r="E33">
        <f t="shared" si="6"/>
        <v>0</v>
      </c>
      <c r="F33">
        <f t="shared" si="7"/>
        <v>0</v>
      </c>
      <c r="G33">
        <f t="shared" si="8"/>
        <v>0</v>
      </c>
      <c r="H33">
        <f t="shared" si="9"/>
        <v>0</v>
      </c>
      <c r="J33">
        <f t="shared" si="10"/>
        <v>0</v>
      </c>
      <c r="K33">
        <f t="shared" si="11"/>
        <v>0</v>
      </c>
      <c r="L33">
        <f t="shared" si="12"/>
        <v>0</v>
      </c>
      <c r="M33">
        <f t="shared" si="13"/>
        <v>0</v>
      </c>
      <c r="N33">
        <f t="shared" si="14"/>
        <v>0</v>
      </c>
      <c r="Q33">
        <f t="shared" si="15"/>
        <v>1</v>
      </c>
      <c r="S33">
        <f t="shared" si="16"/>
        <v>0</v>
      </c>
      <c r="T33">
        <f t="shared" si="17"/>
        <v>0</v>
      </c>
      <c r="U33" t="e">
        <f t="shared" si="18"/>
        <v>#DIV/0!</v>
      </c>
      <c r="V33">
        <f t="shared" si="19"/>
        <v>0</v>
      </c>
      <c r="W33">
        <f t="shared" si="20"/>
        <v>0</v>
      </c>
      <c r="Y33">
        <f t="shared" si="21"/>
        <v>0</v>
      </c>
    </row>
    <row r="34" spans="4:25" x14ac:dyDescent="0.25">
      <c r="D34">
        <f t="shared" si="22"/>
        <v>0</v>
      </c>
      <c r="E34">
        <f t="shared" si="6"/>
        <v>0</v>
      </c>
      <c r="F34">
        <f t="shared" si="7"/>
        <v>0</v>
      </c>
      <c r="G34">
        <f t="shared" si="8"/>
        <v>0</v>
      </c>
      <c r="H34">
        <f t="shared" si="9"/>
        <v>0</v>
      </c>
      <c r="J34">
        <f t="shared" si="10"/>
        <v>0</v>
      </c>
      <c r="K34">
        <f t="shared" si="11"/>
        <v>0</v>
      </c>
      <c r="L34">
        <f t="shared" si="12"/>
        <v>0.5</v>
      </c>
      <c r="M34">
        <f t="shared" si="13"/>
        <v>1</v>
      </c>
      <c r="N34">
        <f t="shared" si="14"/>
        <v>0.5</v>
      </c>
      <c r="Q34">
        <f t="shared" si="15"/>
        <v>1</v>
      </c>
      <c r="S34">
        <f t="shared" si="16"/>
        <v>0</v>
      </c>
      <c r="T34">
        <f t="shared" si="17"/>
        <v>0</v>
      </c>
      <c r="U34" t="e">
        <f t="shared" si="18"/>
        <v>#DIV/0!</v>
      </c>
      <c r="V34">
        <f t="shared" si="19"/>
        <v>0</v>
      </c>
      <c r="W34">
        <f t="shared" si="20"/>
        <v>0</v>
      </c>
      <c r="Y34">
        <f t="shared" si="21"/>
        <v>0</v>
      </c>
    </row>
    <row r="35" spans="4:25" x14ac:dyDescent="0.25">
      <c r="D35">
        <f t="shared" si="22"/>
        <v>0</v>
      </c>
      <c r="E35">
        <f t="shared" si="6"/>
        <v>0</v>
      </c>
      <c r="F35">
        <f t="shared" si="7"/>
        <v>0</v>
      </c>
      <c r="G35">
        <f t="shared" si="8"/>
        <v>0</v>
      </c>
      <c r="H35">
        <f t="shared" si="9"/>
        <v>0</v>
      </c>
      <c r="J35">
        <f t="shared" si="10"/>
        <v>0</v>
      </c>
      <c r="K35">
        <f t="shared" si="11"/>
        <v>0</v>
      </c>
      <c r="L35">
        <f t="shared" si="12"/>
        <v>0</v>
      </c>
      <c r="M35">
        <f t="shared" si="13"/>
        <v>0</v>
      </c>
      <c r="N35">
        <f t="shared" si="14"/>
        <v>0</v>
      </c>
      <c r="Q35">
        <f t="shared" si="15"/>
        <v>0</v>
      </c>
      <c r="S35">
        <f t="shared" si="16"/>
        <v>0</v>
      </c>
      <c r="T35">
        <f t="shared" si="17"/>
        <v>0</v>
      </c>
      <c r="U35" t="e">
        <f t="shared" si="18"/>
        <v>#DIV/0!</v>
      </c>
      <c r="V35">
        <f t="shared" si="19"/>
        <v>0</v>
      </c>
      <c r="W35">
        <f t="shared" si="20"/>
        <v>0</v>
      </c>
      <c r="Y35">
        <f t="shared" si="21"/>
        <v>0</v>
      </c>
    </row>
    <row r="36" spans="4:25" x14ac:dyDescent="0.25">
      <c r="D36">
        <f t="shared" si="22"/>
        <v>0</v>
      </c>
      <c r="E36">
        <f t="shared" si="6"/>
        <v>0</v>
      </c>
      <c r="F36">
        <f t="shared" si="7"/>
        <v>0</v>
      </c>
      <c r="G36">
        <f t="shared" si="8"/>
        <v>0</v>
      </c>
      <c r="H36">
        <f t="shared" si="9"/>
        <v>0</v>
      </c>
      <c r="J36">
        <f t="shared" si="10"/>
        <v>0</v>
      </c>
      <c r="K36">
        <f t="shared" si="11"/>
        <v>0</v>
      </c>
      <c r="L36">
        <f t="shared" si="12"/>
        <v>0.5</v>
      </c>
      <c r="M36">
        <f t="shared" si="13"/>
        <v>1</v>
      </c>
      <c r="N36">
        <f t="shared" si="14"/>
        <v>0.5</v>
      </c>
      <c r="Q36">
        <f t="shared" si="15"/>
        <v>0</v>
      </c>
      <c r="S36">
        <f t="shared" si="16"/>
        <v>0</v>
      </c>
      <c r="T36">
        <f t="shared" si="17"/>
        <v>0</v>
      </c>
      <c r="U36" t="e">
        <f t="shared" si="18"/>
        <v>#DIV/0!</v>
      </c>
      <c r="V36">
        <f t="shared" si="19"/>
        <v>0</v>
      </c>
      <c r="W36">
        <f t="shared" si="20"/>
        <v>0</v>
      </c>
      <c r="Y36">
        <f t="shared" si="21"/>
        <v>0</v>
      </c>
    </row>
    <row r="37" spans="4:25" x14ac:dyDescent="0.25">
      <c r="D37">
        <f t="shared" si="22"/>
        <v>0</v>
      </c>
      <c r="E37">
        <f t="shared" si="6"/>
        <v>0</v>
      </c>
      <c r="F37">
        <f t="shared" si="7"/>
        <v>0</v>
      </c>
      <c r="G37">
        <f t="shared" si="8"/>
        <v>0</v>
      </c>
      <c r="H37">
        <f t="shared" si="9"/>
        <v>0</v>
      </c>
      <c r="J37">
        <f t="shared" si="10"/>
        <v>0</v>
      </c>
      <c r="K37">
        <f t="shared" si="11"/>
        <v>0</v>
      </c>
      <c r="L37">
        <f t="shared" si="12"/>
        <v>0</v>
      </c>
      <c r="M37">
        <f t="shared" si="13"/>
        <v>0</v>
      </c>
      <c r="N37">
        <f t="shared" si="14"/>
        <v>0</v>
      </c>
      <c r="Q37">
        <f t="shared" si="15"/>
        <v>0</v>
      </c>
      <c r="S37">
        <f t="shared" si="16"/>
        <v>0</v>
      </c>
      <c r="T37">
        <f t="shared" si="17"/>
        <v>0</v>
      </c>
      <c r="U37" t="e">
        <f t="shared" si="18"/>
        <v>#DIV/0!</v>
      </c>
      <c r="V37">
        <f t="shared" si="19"/>
        <v>0</v>
      </c>
      <c r="W37">
        <f t="shared" si="20"/>
        <v>0</v>
      </c>
      <c r="Y37">
        <f t="shared" si="21"/>
        <v>0</v>
      </c>
    </row>
    <row r="38" spans="4:25" x14ac:dyDescent="0.25">
      <c r="D38">
        <f t="shared" si="22"/>
        <v>1</v>
      </c>
      <c r="E38">
        <f t="shared" si="6"/>
        <v>1</v>
      </c>
      <c r="F38">
        <f t="shared" si="7"/>
        <v>1</v>
      </c>
      <c r="G38">
        <f t="shared" si="8"/>
        <v>1</v>
      </c>
      <c r="H38">
        <f t="shared" si="9"/>
        <v>1</v>
      </c>
      <c r="J38">
        <f t="shared" si="10"/>
        <v>1</v>
      </c>
      <c r="K38">
        <f t="shared" si="11"/>
        <v>1</v>
      </c>
      <c r="L38">
        <f t="shared" si="12"/>
        <v>0.5</v>
      </c>
      <c r="M38">
        <f t="shared" si="13"/>
        <v>0</v>
      </c>
      <c r="N38">
        <f t="shared" si="14"/>
        <v>0.5</v>
      </c>
      <c r="Q38">
        <f t="shared" si="15"/>
        <v>1</v>
      </c>
      <c r="S38">
        <f t="shared" si="16"/>
        <v>1</v>
      </c>
      <c r="T38">
        <f t="shared" si="17"/>
        <v>1</v>
      </c>
      <c r="U38" t="e">
        <f t="shared" si="18"/>
        <v>#DIV/0!</v>
      </c>
      <c r="V38">
        <f t="shared" si="19"/>
        <v>1</v>
      </c>
      <c r="W38">
        <f t="shared" si="20"/>
        <v>1</v>
      </c>
      <c r="Y38">
        <f t="shared" si="21"/>
        <v>1</v>
      </c>
    </row>
    <row r="39" spans="4:25" x14ac:dyDescent="0.25">
      <c r="D39">
        <f t="shared" si="22"/>
        <v>1</v>
      </c>
      <c r="E39">
        <f t="shared" si="6"/>
        <v>1</v>
      </c>
      <c r="F39">
        <f t="shared" si="7"/>
        <v>1</v>
      </c>
      <c r="G39">
        <f t="shared" si="8"/>
        <v>1</v>
      </c>
      <c r="H39">
        <f t="shared" si="9"/>
        <v>1</v>
      </c>
      <c r="J39">
        <f t="shared" si="10"/>
        <v>1</v>
      </c>
      <c r="K39">
        <f t="shared" si="11"/>
        <v>1</v>
      </c>
      <c r="L39">
        <f t="shared" si="12"/>
        <v>1</v>
      </c>
      <c r="M39">
        <f t="shared" si="13"/>
        <v>1</v>
      </c>
      <c r="N39">
        <f t="shared" si="14"/>
        <v>1</v>
      </c>
      <c r="Q39">
        <f t="shared" si="15"/>
        <v>1</v>
      </c>
      <c r="S39">
        <f t="shared" si="16"/>
        <v>1</v>
      </c>
      <c r="T39">
        <f t="shared" si="17"/>
        <v>1</v>
      </c>
      <c r="U39" t="e">
        <f t="shared" si="18"/>
        <v>#DIV/0!</v>
      </c>
      <c r="V39">
        <f t="shared" si="19"/>
        <v>1</v>
      </c>
      <c r="W39">
        <f t="shared" si="20"/>
        <v>1</v>
      </c>
      <c r="Y39">
        <f t="shared" si="21"/>
        <v>1</v>
      </c>
    </row>
    <row r="40" spans="4:25" x14ac:dyDescent="0.25">
      <c r="D40">
        <f t="shared" si="22"/>
        <v>1</v>
      </c>
      <c r="E40">
        <f t="shared" si="6"/>
        <v>1</v>
      </c>
      <c r="F40">
        <f t="shared" si="7"/>
        <v>1</v>
      </c>
      <c r="G40">
        <f t="shared" si="8"/>
        <v>1</v>
      </c>
      <c r="H40">
        <f t="shared" si="9"/>
        <v>1</v>
      </c>
      <c r="J40">
        <f t="shared" si="10"/>
        <v>1</v>
      </c>
      <c r="K40">
        <f t="shared" si="11"/>
        <v>1</v>
      </c>
      <c r="L40">
        <f t="shared" si="12"/>
        <v>0.5</v>
      </c>
      <c r="M40">
        <f t="shared" si="13"/>
        <v>0</v>
      </c>
      <c r="N40">
        <f t="shared" si="14"/>
        <v>0.5</v>
      </c>
      <c r="Q40">
        <f t="shared" si="15"/>
        <v>0</v>
      </c>
      <c r="S40">
        <f t="shared" si="16"/>
        <v>1</v>
      </c>
      <c r="T40">
        <f t="shared" si="17"/>
        <v>1</v>
      </c>
      <c r="U40" t="e">
        <f t="shared" si="18"/>
        <v>#DIV/0!</v>
      </c>
      <c r="V40">
        <f t="shared" si="19"/>
        <v>1</v>
      </c>
      <c r="W40">
        <f t="shared" si="20"/>
        <v>1</v>
      </c>
      <c r="Y40">
        <f t="shared" si="21"/>
        <v>1</v>
      </c>
    </row>
    <row r="41" spans="4:25" x14ac:dyDescent="0.25">
      <c r="D41">
        <f t="shared" si="22"/>
        <v>1</v>
      </c>
      <c r="E41">
        <f t="shared" si="6"/>
        <v>1</v>
      </c>
      <c r="F41">
        <f t="shared" si="7"/>
        <v>1</v>
      </c>
      <c r="G41">
        <f t="shared" si="8"/>
        <v>1</v>
      </c>
      <c r="H41">
        <f t="shared" si="9"/>
        <v>1</v>
      </c>
      <c r="J41">
        <f t="shared" si="10"/>
        <v>1</v>
      </c>
      <c r="K41">
        <f t="shared" si="11"/>
        <v>1</v>
      </c>
      <c r="L41">
        <f t="shared" si="12"/>
        <v>1</v>
      </c>
      <c r="M41">
        <f t="shared" si="13"/>
        <v>1</v>
      </c>
      <c r="N41">
        <f t="shared" si="14"/>
        <v>1</v>
      </c>
      <c r="Q41">
        <f t="shared" si="15"/>
        <v>0</v>
      </c>
      <c r="S41">
        <f t="shared" si="16"/>
        <v>1</v>
      </c>
      <c r="T41">
        <f t="shared" si="17"/>
        <v>1</v>
      </c>
      <c r="U41" t="e">
        <f t="shared" si="18"/>
        <v>#DIV/0!</v>
      </c>
      <c r="V41">
        <f t="shared" si="19"/>
        <v>1</v>
      </c>
      <c r="W41">
        <f t="shared" si="20"/>
        <v>1</v>
      </c>
      <c r="Y41">
        <f t="shared" si="21"/>
        <v>1</v>
      </c>
    </row>
    <row r="42" spans="4:25" x14ac:dyDescent="0.25">
      <c r="D42">
        <f t="shared" si="22"/>
        <v>0</v>
      </c>
      <c r="E42">
        <f t="shared" si="6"/>
        <v>0</v>
      </c>
      <c r="F42">
        <f t="shared" si="7"/>
        <v>0</v>
      </c>
      <c r="G42">
        <f t="shared" si="8"/>
        <v>0</v>
      </c>
      <c r="H42">
        <f t="shared" si="9"/>
        <v>0</v>
      </c>
      <c r="J42">
        <f t="shared" si="10"/>
        <v>0</v>
      </c>
      <c r="K42">
        <f t="shared" si="11"/>
        <v>0</v>
      </c>
      <c r="L42">
        <f t="shared" si="12"/>
        <v>0</v>
      </c>
      <c r="M42">
        <f t="shared" si="13"/>
        <v>0</v>
      </c>
      <c r="N42">
        <f t="shared" si="14"/>
        <v>0</v>
      </c>
      <c r="Q42">
        <f t="shared" si="15"/>
        <v>1</v>
      </c>
      <c r="S42">
        <f t="shared" si="16"/>
        <v>0</v>
      </c>
      <c r="T42">
        <f t="shared" si="17"/>
        <v>0</v>
      </c>
      <c r="U42" t="e">
        <f t="shared" si="18"/>
        <v>#DIV/0!</v>
      </c>
      <c r="V42">
        <f t="shared" si="19"/>
        <v>0</v>
      </c>
      <c r="W42">
        <f t="shared" si="20"/>
        <v>0</v>
      </c>
      <c r="Y42">
        <f t="shared" si="21"/>
        <v>0</v>
      </c>
    </row>
    <row r="43" spans="4:25" x14ac:dyDescent="0.25">
      <c r="D43">
        <f>(D19-$D$25)/($D$26-$D$25)</f>
        <v>0</v>
      </c>
      <c r="E43">
        <f t="shared" si="6"/>
        <v>0</v>
      </c>
      <c r="F43">
        <f t="shared" si="7"/>
        <v>0</v>
      </c>
      <c r="G43">
        <f t="shared" si="8"/>
        <v>0</v>
      </c>
      <c r="H43">
        <f t="shared" si="9"/>
        <v>0</v>
      </c>
      <c r="J43">
        <f t="shared" si="10"/>
        <v>0</v>
      </c>
      <c r="K43">
        <f t="shared" si="11"/>
        <v>0</v>
      </c>
      <c r="L43">
        <f t="shared" si="12"/>
        <v>0.5</v>
      </c>
      <c r="M43">
        <f t="shared" si="13"/>
        <v>1</v>
      </c>
      <c r="N43">
        <f t="shared" si="14"/>
        <v>0.5</v>
      </c>
      <c r="Q43">
        <f t="shared" si="15"/>
        <v>1</v>
      </c>
      <c r="S43">
        <f t="shared" si="16"/>
        <v>0</v>
      </c>
      <c r="T43">
        <f t="shared" si="17"/>
        <v>0</v>
      </c>
      <c r="U43" t="e">
        <f t="shared" si="18"/>
        <v>#DIV/0!</v>
      </c>
      <c r="V43">
        <f t="shared" si="19"/>
        <v>0</v>
      </c>
      <c r="W43">
        <f t="shared" si="20"/>
        <v>0</v>
      </c>
      <c r="Y43">
        <f t="shared" si="21"/>
        <v>0</v>
      </c>
    </row>
    <row r="44" spans="4:25" x14ac:dyDescent="0.25">
      <c r="D44">
        <f t="shared" si="22"/>
        <v>0</v>
      </c>
      <c r="E44">
        <f t="shared" si="6"/>
        <v>0</v>
      </c>
      <c r="F44">
        <f t="shared" si="7"/>
        <v>0</v>
      </c>
      <c r="G44">
        <f t="shared" si="8"/>
        <v>0</v>
      </c>
      <c r="H44">
        <f t="shared" si="9"/>
        <v>0</v>
      </c>
      <c r="J44">
        <f t="shared" si="10"/>
        <v>0</v>
      </c>
      <c r="K44">
        <f t="shared" si="11"/>
        <v>0</v>
      </c>
      <c r="L44">
        <f t="shared" si="12"/>
        <v>0</v>
      </c>
      <c r="M44">
        <f t="shared" si="13"/>
        <v>0</v>
      </c>
      <c r="N44">
        <f t="shared" si="14"/>
        <v>0</v>
      </c>
      <c r="Q44">
        <f t="shared" si="15"/>
        <v>0</v>
      </c>
      <c r="S44">
        <f t="shared" si="16"/>
        <v>0</v>
      </c>
      <c r="T44">
        <f t="shared" si="17"/>
        <v>0</v>
      </c>
      <c r="U44" t="e">
        <f t="shared" si="18"/>
        <v>#DIV/0!</v>
      </c>
      <c r="V44">
        <f t="shared" si="19"/>
        <v>0</v>
      </c>
      <c r="W44">
        <f t="shared" si="20"/>
        <v>0</v>
      </c>
      <c r="Y44">
        <f t="shared" si="21"/>
        <v>0</v>
      </c>
    </row>
    <row r="45" spans="4:25" x14ac:dyDescent="0.25">
      <c r="D45">
        <f t="shared" si="22"/>
        <v>0</v>
      </c>
      <c r="E45">
        <f t="shared" si="6"/>
        <v>0</v>
      </c>
      <c r="F45">
        <f t="shared" si="7"/>
        <v>0</v>
      </c>
      <c r="G45">
        <f t="shared" si="8"/>
        <v>0</v>
      </c>
      <c r="H45">
        <f t="shared" si="9"/>
        <v>0</v>
      </c>
      <c r="J45">
        <f t="shared" si="10"/>
        <v>0</v>
      </c>
      <c r="K45">
        <f t="shared" si="11"/>
        <v>0</v>
      </c>
      <c r="L45">
        <f t="shared" si="12"/>
        <v>0.5</v>
      </c>
      <c r="M45">
        <f t="shared" si="13"/>
        <v>1</v>
      </c>
      <c r="N45">
        <f t="shared" si="14"/>
        <v>0.5</v>
      </c>
      <c r="Q45">
        <f t="shared" si="15"/>
        <v>0</v>
      </c>
      <c r="S45">
        <f t="shared" si="16"/>
        <v>0</v>
      </c>
      <c r="T45">
        <f t="shared" si="17"/>
        <v>0</v>
      </c>
      <c r="U45" t="e">
        <f t="shared" si="18"/>
        <v>#DIV/0!</v>
      </c>
      <c r="V45">
        <f t="shared" si="19"/>
        <v>0</v>
      </c>
      <c r="W45">
        <f t="shared" si="20"/>
        <v>0</v>
      </c>
      <c r="Y45">
        <f t="shared" si="21"/>
        <v>0</v>
      </c>
    </row>
    <row r="46" spans="4:25" x14ac:dyDescent="0.25">
      <c r="D46">
        <f t="shared" si="22"/>
        <v>0</v>
      </c>
      <c r="E46">
        <f t="shared" si="6"/>
        <v>0</v>
      </c>
      <c r="F46">
        <f t="shared" si="7"/>
        <v>0</v>
      </c>
      <c r="G46">
        <f t="shared" si="8"/>
        <v>0</v>
      </c>
      <c r="H46">
        <f t="shared" si="9"/>
        <v>0</v>
      </c>
      <c r="J46">
        <f t="shared" si="10"/>
        <v>0</v>
      </c>
      <c r="K46">
        <f t="shared" si="11"/>
        <v>0</v>
      </c>
      <c r="L46">
        <f t="shared" si="12"/>
        <v>0</v>
      </c>
      <c r="M46">
        <f t="shared" si="13"/>
        <v>0</v>
      </c>
      <c r="N46">
        <f t="shared" si="14"/>
        <v>0</v>
      </c>
      <c r="Q46">
        <f t="shared" si="15"/>
        <v>0</v>
      </c>
      <c r="S46">
        <f t="shared" si="16"/>
        <v>0</v>
      </c>
      <c r="T46">
        <f t="shared" si="17"/>
        <v>0</v>
      </c>
      <c r="U46" t="e">
        <f t="shared" si="18"/>
        <v>#DIV/0!</v>
      </c>
      <c r="V46">
        <f t="shared" si="19"/>
        <v>0</v>
      </c>
      <c r="W46">
        <f t="shared" si="20"/>
        <v>0</v>
      </c>
      <c r="Y46">
        <f t="shared" si="21"/>
        <v>0</v>
      </c>
    </row>
    <row r="49" spans="3:25" x14ac:dyDescent="0.25">
      <c r="C49" s="2">
        <f>AVERAGE(D49:H49)</f>
        <v>100</v>
      </c>
      <c r="D49">
        <f>100*ROUND(D29,2)</f>
        <v>100</v>
      </c>
      <c r="E49">
        <f t="shared" ref="E49:H49" si="23">100*ROUND(E29,2)</f>
        <v>100</v>
      </c>
      <c r="F49">
        <f t="shared" si="23"/>
        <v>100</v>
      </c>
      <c r="G49">
        <f t="shared" si="23"/>
        <v>100</v>
      </c>
      <c r="H49">
        <f t="shared" si="23"/>
        <v>100</v>
      </c>
      <c r="I49" s="2">
        <f>AVERAGE(J49:N49)</f>
        <v>60</v>
      </c>
      <c r="J49">
        <f>100*ROUND(J29,2)</f>
        <v>100</v>
      </c>
      <c r="K49">
        <f t="shared" ref="K49:N49" si="24">100*ROUND(K29,2)</f>
        <v>100</v>
      </c>
      <c r="L49">
        <f t="shared" si="24"/>
        <v>50</v>
      </c>
      <c r="M49">
        <f t="shared" si="24"/>
        <v>0</v>
      </c>
      <c r="N49">
        <f t="shared" si="24"/>
        <v>50</v>
      </c>
      <c r="P49" s="2">
        <f>AVERAGE(Q49)</f>
        <v>100</v>
      </c>
      <c r="Q49">
        <f>100*ROUND(Q29,2)</f>
        <v>100</v>
      </c>
      <c r="R49" s="2">
        <f>AVERAGE(S49,T49,V49,W49)</f>
        <v>100</v>
      </c>
      <c r="S49">
        <f>100*ROUND(S29,2)</f>
        <v>100</v>
      </c>
      <c r="T49">
        <f t="shared" ref="T49:W49" si="25">100*ROUND(T29,2)</f>
        <v>100</v>
      </c>
      <c r="U49" t="e">
        <f t="shared" si="25"/>
        <v>#DIV/0!</v>
      </c>
      <c r="V49">
        <f t="shared" si="25"/>
        <v>100</v>
      </c>
      <c r="W49">
        <f t="shared" si="25"/>
        <v>100</v>
      </c>
      <c r="X49" s="2">
        <f>AVERAGE(Y49)</f>
        <v>100</v>
      </c>
      <c r="Y49">
        <f>100*ROUND(Y29,2)</f>
        <v>100</v>
      </c>
    </row>
    <row r="50" spans="3:25" x14ac:dyDescent="0.25">
      <c r="C50" s="2">
        <f t="shared" ref="C50:C66" si="26">AVERAGE(D50:H50)</f>
        <v>100</v>
      </c>
      <c r="D50">
        <f t="shared" ref="D50:H66" si="27">100*ROUND(D30,2)</f>
        <v>100</v>
      </c>
      <c r="E50">
        <f t="shared" si="27"/>
        <v>100</v>
      </c>
      <c r="F50">
        <f t="shared" si="27"/>
        <v>100</v>
      </c>
      <c r="G50">
        <f t="shared" si="27"/>
        <v>100</v>
      </c>
      <c r="H50">
        <f t="shared" si="27"/>
        <v>100</v>
      </c>
      <c r="I50" s="2">
        <f t="shared" ref="I50:I66" si="28">AVERAGE(J50:N50)</f>
        <v>100</v>
      </c>
      <c r="J50">
        <f t="shared" ref="J50:N66" si="29">100*ROUND(J30,2)</f>
        <v>100</v>
      </c>
      <c r="K50">
        <f t="shared" si="29"/>
        <v>100</v>
      </c>
      <c r="L50">
        <f t="shared" si="29"/>
        <v>100</v>
      </c>
      <c r="M50">
        <f t="shared" si="29"/>
        <v>100</v>
      </c>
      <c r="N50">
        <f t="shared" si="29"/>
        <v>100</v>
      </c>
      <c r="P50" s="2">
        <f t="shared" ref="P50:P66" si="30">AVERAGE(Q50)</f>
        <v>100</v>
      </c>
      <c r="Q50">
        <f t="shared" ref="Q50:Q66" si="31">100*ROUND(Q30,2)</f>
        <v>100</v>
      </c>
      <c r="R50" s="2">
        <f t="shared" ref="R50:R66" si="32">AVERAGE(S50,T50,V50,W50)</f>
        <v>100</v>
      </c>
      <c r="S50">
        <f t="shared" ref="S50:W66" si="33">100*ROUND(S30,2)</f>
        <v>100</v>
      </c>
      <c r="T50">
        <f t="shared" si="33"/>
        <v>100</v>
      </c>
      <c r="U50" t="e">
        <f t="shared" si="33"/>
        <v>#DIV/0!</v>
      </c>
      <c r="V50">
        <f t="shared" si="33"/>
        <v>100</v>
      </c>
      <c r="W50">
        <f t="shared" si="33"/>
        <v>100</v>
      </c>
      <c r="X50" s="2">
        <f t="shared" ref="X50:X66" si="34">AVERAGE(Y50)</f>
        <v>100</v>
      </c>
      <c r="Y50">
        <f t="shared" ref="Y50:Y66" si="35">100*ROUND(Y30,2)</f>
        <v>100</v>
      </c>
    </row>
    <row r="51" spans="3:25" x14ac:dyDescent="0.25">
      <c r="C51" s="2">
        <f t="shared" si="26"/>
        <v>100</v>
      </c>
      <c r="D51">
        <f t="shared" si="27"/>
        <v>100</v>
      </c>
      <c r="E51">
        <f t="shared" si="27"/>
        <v>100</v>
      </c>
      <c r="F51">
        <f t="shared" si="27"/>
        <v>100</v>
      </c>
      <c r="G51">
        <f t="shared" si="27"/>
        <v>100</v>
      </c>
      <c r="H51">
        <f t="shared" si="27"/>
        <v>100</v>
      </c>
      <c r="I51" s="2">
        <f t="shared" si="28"/>
        <v>60</v>
      </c>
      <c r="J51">
        <f t="shared" si="29"/>
        <v>100</v>
      </c>
      <c r="K51">
        <f t="shared" si="29"/>
        <v>100</v>
      </c>
      <c r="L51">
        <f t="shared" si="29"/>
        <v>50</v>
      </c>
      <c r="M51">
        <f t="shared" si="29"/>
        <v>0</v>
      </c>
      <c r="N51">
        <f t="shared" si="29"/>
        <v>50</v>
      </c>
      <c r="P51" s="2">
        <f t="shared" si="30"/>
        <v>0</v>
      </c>
      <c r="Q51">
        <f t="shared" si="31"/>
        <v>0</v>
      </c>
      <c r="R51" s="2">
        <f t="shared" si="32"/>
        <v>100</v>
      </c>
      <c r="S51">
        <f t="shared" si="33"/>
        <v>100</v>
      </c>
      <c r="T51">
        <f t="shared" si="33"/>
        <v>100</v>
      </c>
      <c r="U51" t="e">
        <f t="shared" si="33"/>
        <v>#DIV/0!</v>
      </c>
      <c r="V51">
        <f t="shared" si="33"/>
        <v>100</v>
      </c>
      <c r="W51">
        <f t="shared" si="33"/>
        <v>100</v>
      </c>
      <c r="X51" s="2">
        <f t="shared" si="34"/>
        <v>100</v>
      </c>
      <c r="Y51">
        <f t="shared" si="35"/>
        <v>100</v>
      </c>
    </row>
    <row r="52" spans="3:25" x14ac:dyDescent="0.25">
      <c r="C52" s="2">
        <f t="shared" si="26"/>
        <v>100</v>
      </c>
      <c r="D52">
        <f t="shared" si="27"/>
        <v>100</v>
      </c>
      <c r="E52">
        <f t="shared" si="27"/>
        <v>100</v>
      </c>
      <c r="F52">
        <f t="shared" si="27"/>
        <v>100</v>
      </c>
      <c r="G52">
        <f t="shared" si="27"/>
        <v>100</v>
      </c>
      <c r="H52">
        <f t="shared" si="27"/>
        <v>100</v>
      </c>
      <c r="I52" s="2">
        <f t="shared" si="28"/>
        <v>100</v>
      </c>
      <c r="J52">
        <f t="shared" si="29"/>
        <v>100</v>
      </c>
      <c r="K52">
        <f t="shared" si="29"/>
        <v>100</v>
      </c>
      <c r="L52">
        <f t="shared" si="29"/>
        <v>100</v>
      </c>
      <c r="M52">
        <f t="shared" si="29"/>
        <v>100</v>
      </c>
      <c r="N52">
        <f t="shared" si="29"/>
        <v>100</v>
      </c>
      <c r="P52" s="2">
        <f t="shared" si="30"/>
        <v>0</v>
      </c>
      <c r="Q52">
        <f t="shared" si="31"/>
        <v>0</v>
      </c>
      <c r="R52" s="2">
        <f t="shared" si="32"/>
        <v>100</v>
      </c>
      <c r="S52">
        <f t="shared" si="33"/>
        <v>100</v>
      </c>
      <c r="T52">
        <f t="shared" si="33"/>
        <v>100</v>
      </c>
      <c r="U52" t="e">
        <f t="shared" si="33"/>
        <v>#DIV/0!</v>
      </c>
      <c r="V52">
        <f t="shared" si="33"/>
        <v>100</v>
      </c>
      <c r="W52">
        <f t="shared" si="33"/>
        <v>100</v>
      </c>
      <c r="X52" s="2">
        <f t="shared" si="34"/>
        <v>100</v>
      </c>
      <c r="Y52">
        <f t="shared" si="35"/>
        <v>100</v>
      </c>
    </row>
    <row r="53" spans="3:25" x14ac:dyDescent="0.25">
      <c r="C53" s="2">
        <f t="shared" si="26"/>
        <v>0</v>
      </c>
      <c r="D53">
        <f t="shared" si="27"/>
        <v>0</v>
      </c>
      <c r="E53">
        <f t="shared" si="27"/>
        <v>0</v>
      </c>
      <c r="F53">
        <f t="shared" si="27"/>
        <v>0</v>
      </c>
      <c r="G53">
        <f t="shared" si="27"/>
        <v>0</v>
      </c>
      <c r="H53">
        <f t="shared" si="27"/>
        <v>0</v>
      </c>
      <c r="I53" s="2">
        <f t="shared" si="28"/>
        <v>0</v>
      </c>
      <c r="J53">
        <f t="shared" si="29"/>
        <v>0</v>
      </c>
      <c r="K53">
        <f t="shared" si="29"/>
        <v>0</v>
      </c>
      <c r="L53">
        <f t="shared" si="29"/>
        <v>0</v>
      </c>
      <c r="M53">
        <f t="shared" si="29"/>
        <v>0</v>
      </c>
      <c r="N53">
        <f t="shared" si="29"/>
        <v>0</v>
      </c>
      <c r="P53" s="2">
        <f t="shared" si="30"/>
        <v>100</v>
      </c>
      <c r="Q53">
        <f t="shared" si="31"/>
        <v>100</v>
      </c>
      <c r="R53" s="2">
        <f t="shared" si="32"/>
        <v>0</v>
      </c>
      <c r="S53">
        <f t="shared" si="33"/>
        <v>0</v>
      </c>
      <c r="T53">
        <f t="shared" si="33"/>
        <v>0</v>
      </c>
      <c r="U53" t="e">
        <f t="shared" si="33"/>
        <v>#DIV/0!</v>
      </c>
      <c r="V53">
        <f t="shared" si="33"/>
        <v>0</v>
      </c>
      <c r="W53">
        <f t="shared" si="33"/>
        <v>0</v>
      </c>
      <c r="X53" s="2">
        <f t="shared" si="34"/>
        <v>0</v>
      </c>
      <c r="Y53">
        <f t="shared" si="35"/>
        <v>0</v>
      </c>
    </row>
    <row r="54" spans="3:25" x14ac:dyDescent="0.25">
      <c r="C54" s="2">
        <f t="shared" si="26"/>
        <v>0</v>
      </c>
      <c r="D54">
        <f t="shared" si="27"/>
        <v>0</v>
      </c>
      <c r="E54">
        <f t="shared" si="27"/>
        <v>0</v>
      </c>
      <c r="F54">
        <f t="shared" si="27"/>
        <v>0</v>
      </c>
      <c r="G54">
        <f t="shared" si="27"/>
        <v>0</v>
      </c>
      <c r="H54">
        <f t="shared" si="27"/>
        <v>0</v>
      </c>
      <c r="I54" s="2">
        <f t="shared" si="28"/>
        <v>40</v>
      </c>
      <c r="J54">
        <f t="shared" si="29"/>
        <v>0</v>
      </c>
      <c r="K54">
        <f t="shared" si="29"/>
        <v>0</v>
      </c>
      <c r="L54">
        <f t="shared" si="29"/>
        <v>50</v>
      </c>
      <c r="M54">
        <f t="shared" si="29"/>
        <v>100</v>
      </c>
      <c r="N54">
        <f t="shared" si="29"/>
        <v>50</v>
      </c>
      <c r="P54" s="2">
        <f t="shared" si="30"/>
        <v>100</v>
      </c>
      <c r="Q54">
        <f t="shared" si="31"/>
        <v>100</v>
      </c>
      <c r="R54" s="2">
        <f t="shared" si="32"/>
        <v>0</v>
      </c>
      <c r="S54">
        <f t="shared" si="33"/>
        <v>0</v>
      </c>
      <c r="T54">
        <f t="shared" si="33"/>
        <v>0</v>
      </c>
      <c r="U54" t="e">
        <f t="shared" si="33"/>
        <v>#DIV/0!</v>
      </c>
      <c r="V54">
        <f t="shared" si="33"/>
        <v>0</v>
      </c>
      <c r="W54">
        <f t="shared" si="33"/>
        <v>0</v>
      </c>
      <c r="X54" s="2">
        <f t="shared" si="34"/>
        <v>0</v>
      </c>
      <c r="Y54">
        <f t="shared" si="35"/>
        <v>0</v>
      </c>
    </row>
    <row r="55" spans="3:25" x14ac:dyDescent="0.25">
      <c r="C55" s="2">
        <f t="shared" si="26"/>
        <v>0</v>
      </c>
      <c r="D55">
        <f t="shared" si="27"/>
        <v>0</v>
      </c>
      <c r="E55">
        <f t="shared" si="27"/>
        <v>0</v>
      </c>
      <c r="F55">
        <f t="shared" si="27"/>
        <v>0</v>
      </c>
      <c r="G55">
        <f t="shared" si="27"/>
        <v>0</v>
      </c>
      <c r="H55">
        <f t="shared" si="27"/>
        <v>0</v>
      </c>
      <c r="I55" s="2">
        <f t="shared" si="28"/>
        <v>0</v>
      </c>
      <c r="J55">
        <f t="shared" si="29"/>
        <v>0</v>
      </c>
      <c r="K55">
        <f t="shared" si="29"/>
        <v>0</v>
      </c>
      <c r="L55">
        <f t="shared" si="29"/>
        <v>0</v>
      </c>
      <c r="M55">
        <f t="shared" si="29"/>
        <v>0</v>
      </c>
      <c r="N55">
        <f t="shared" si="29"/>
        <v>0</v>
      </c>
      <c r="P55" s="2">
        <f t="shared" si="30"/>
        <v>0</v>
      </c>
      <c r="Q55">
        <f t="shared" si="31"/>
        <v>0</v>
      </c>
      <c r="R55" s="2">
        <f t="shared" si="32"/>
        <v>0</v>
      </c>
      <c r="S55">
        <f t="shared" si="33"/>
        <v>0</v>
      </c>
      <c r="T55">
        <f t="shared" si="33"/>
        <v>0</v>
      </c>
      <c r="U55" t="e">
        <f t="shared" si="33"/>
        <v>#DIV/0!</v>
      </c>
      <c r="V55">
        <f t="shared" si="33"/>
        <v>0</v>
      </c>
      <c r="W55">
        <f t="shared" si="33"/>
        <v>0</v>
      </c>
      <c r="X55" s="2">
        <f t="shared" si="34"/>
        <v>0</v>
      </c>
      <c r="Y55">
        <f t="shared" si="35"/>
        <v>0</v>
      </c>
    </row>
    <row r="56" spans="3:25" x14ac:dyDescent="0.25">
      <c r="C56" s="2">
        <f t="shared" si="26"/>
        <v>0</v>
      </c>
      <c r="D56">
        <f t="shared" si="27"/>
        <v>0</v>
      </c>
      <c r="E56">
        <f t="shared" si="27"/>
        <v>0</v>
      </c>
      <c r="F56">
        <f t="shared" si="27"/>
        <v>0</v>
      </c>
      <c r="G56">
        <f t="shared" si="27"/>
        <v>0</v>
      </c>
      <c r="H56">
        <f t="shared" si="27"/>
        <v>0</v>
      </c>
      <c r="I56" s="2">
        <f t="shared" si="28"/>
        <v>40</v>
      </c>
      <c r="J56">
        <f t="shared" si="29"/>
        <v>0</v>
      </c>
      <c r="K56">
        <f t="shared" si="29"/>
        <v>0</v>
      </c>
      <c r="L56">
        <f t="shared" si="29"/>
        <v>50</v>
      </c>
      <c r="M56">
        <f t="shared" si="29"/>
        <v>100</v>
      </c>
      <c r="N56">
        <f t="shared" si="29"/>
        <v>50</v>
      </c>
      <c r="P56" s="2">
        <f t="shared" si="30"/>
        <v>0</v>
      </c>
      <c r="Q56">
        <f t="shared" si="31"/>
        <v>0</v>
      </c>
      <c r="R56" s="2">
        <f t="shared" si="32"/>
        <v>0</v>
      </c>
      <c r="S56">
        <f t="shared" si="33"/>
        <v>0</v>
      </c>
      <c r="T56">
        <f t="shared" si="33"/>
        <v>0</v>
      </c>
      <c r="U56" t="e">
        <f t="shared" si="33"/>
        <v>#DIV/0!</v>
      </c>
      <c r="V56">
        <f t="shared" si="33"/>
        <v>0</v>
      </c>
      <c r="W56">
        <f t="shared" si="33"/>
        <v>0</v>
      </c>
      <c r="X56" s="2">
        <f t="shared" si="34"/>
        <v>0</v>
      </c>
      <c r="Y56">
        <f t="shared" si="35"/>
        <v>0</v>
      </c>
    </row>
    <row r="57" spans="3:25" x14ac:dyDescent="0.25">
      <c r="C57" s="2">
        <f t="shared" si="26"/>
        <v>0</v>
      </c>
      <c r="D57">
        <f t="shared" si="27"/>
        <v>0</v>
      </c>
      <c r="E57">
        <f t="shared" si="27"/>
        <v>0</v>
      </c>
      <c r="F57">
        <f t="shared" si="27"/>
        <v>0</v>
      </c>
      <c r="G57">
        <f t="shared" si="27"/>
        <v>0</v>
      </c>
      <c r="H57">
        <f t="shared" si="27"/>
        <v>0</v>
      </c>
      <c r="I57" s="2">
        <f t="shared" si="28"/>
        <v>0</v>
      </c>
      <c r="J57">
        <f t="shared" si="29"/>
        <v>0</v>
      </c>
      <c r="K57">
        <f t="shared" si="29"/>
        <v>0</v>
      </c>
      <c r="L57">
        <f t="shared" si="29"/>
        <v>0</v>
      </c>
      <c r="M57">
        <f t="shared" si="29"/>
        <v>0</v>
      </c>
      <c r="N57">
        <f t="shared" si="29"/>
        <v>0</v>
      </c>
      <c r="P57" s="2">
        <f t="shared" si="30"/>
        <v>0</v>
      </c>
      <c r="Q57">
        <f t="shared" si="31"/>
        <v>0</v>
      </c>
      <c r="R57" s="2">
        <f t="shared" si="32"/>
        <v>0</v>
      </c>
      <c r="S57">
        <f t="shared" si="33"/>
        <v>0</v>
      </c>
      <c r="T57">
        <f t="shared" si="33"/>
        <v>0</v>
      </c>
      <c r="U57" t="e">
        <f t="shared" si="33"/>
        <v>#DIV/0!</v>
      </c>
      <c r="V57">
        <f t="shared" si="33"/>
        <v>0</v>
      </c>
      <c r="W57">
        <f t="shared" si="33"/>
        <v>0</v>
      </c>
      <c r="X57" s="2">
        <f t="shared" si="34"/>
        <v>0</v>
      </c>
      <c r="Y57">
        <f t="shared" si="35"/>
        <v>0</v>
      </c>
    </row>
    <row r="58" spans="3:25" x14ac:dyDescent="0.25">
      <c r="C58" s="2">
        <f t="shared" si="26"/>
        <v>100</v>
      </c>
      <c r="D58">
        <f t="shared" si="27"/>
        <v>100</v>
      </c>
      <c r="E58">
        <f t="shared" si="27"/>
        <v>100</v>
      </c>
      <c r="F58">
        <f t="shared" si="27"/>
        <v>100</v>
      </c>
      <c r="G58">
        <f t="shared" si="27"/>
        <v>100</v>
      </c>
      <c r="H58">
        <f t="shared" si="27"/>
        <v>100</v>
      </c>
      <c r="I58" s="2">
        <f t="shared" si="28"/>
        <v>60</v>
      </c>
      <c r="J58">
        <f t="shared" si="29"/>
        <v>100</v>
      </c>
      <c r="K58">
        <f t="shared" si="29"/>
        <v>100</v>
      </c>
      <c r="L58">
        <f t="shared" si="29"/>
        <v>50</v>
      </c>
      <c r="M58">
        <f t="shared" si="29"/>
        <v>0</v>
      </c>
      <c r="N58">
        <f t="shared" si="29"/>
        <v>50</v>
      </c>
      <c r="P58" s="2">
        <f t="shared" si="30"/>
        <v>100</v>
      </c>
      <c r="Q58">
        <f t="shared" si="31"/>
        <v>100</v>
      </c>
      <c r="R58" s="2">
        <f t="shared" si="32"/>
        <v>100</v>
      </c>
      <c r="S58">
        <f t="shared" si="33"/>
        <v>100</v>
      </c>
      <c r="T58">
        <f t="shared" si="33"/>
        <v>100</v>
      </c>
      <c r="U58" t="e">
        <f t="shared" si="33"/>
        <v>#DIV/0!</v>
      </c>
      <c r="V58">
        <f t="shared" si="33"/>
        <v>100</v>
      </c>
      <c r="W58">
        <f t="shared" si="33"/>
        <v>100</v>
      </c>
      <c r="X58" s="2">
        <f t="shared" si="34"/>
        <v>100</v>
      </c>
      <c r="Y58">
        <f t="shared" si="35"/>
        <v>100</v>
      </c>
    </row>
    <row r="59" spans="3:25" x14ac:dyDescent="0.25">
      <c r="C59" s="2">
        <f t="shared" si="26"/>
        <v>100</v>
      </c>
      <c r="D59">
        <f t="shared" si="27"/>
        <v>100</v>
      </c>
      <c r="E59">
        <f t="shared" si="27"/>
        <v>100</v>
      </c>
      <c r="F59">
        <f t="shared" si="27"/>
        <v>100</v>
      </c>
      <c r="G59">
        <f t="shared" si="27"/>
        <v>100</v>
      </c>
      <c r="H59">
        <f t="shared" si="27"/>
        <v>100</v>
      </c>
      <c r="I59" s="2">
        <f t="shared" si="28"/>
        <v>100</v>
      </c>
      <c r="J59">
        <f t="shared" si="29"/>
        <v>100</v>
      </c>
      <c r="K59">
        <f t="shared" si="29"/>
        <v>100</v>
      </c>
      <c r="L59">
        <f t="shared" si="29"/>
        <v>100</v>
      </c>
      <c r="M59">
        <f t="shared" si="29"/>
        <v>100</v>
      </c>
      <c r="N59">
        <f t="shared" si="29"/>
        <v>100</v>
      </c>
      <c r="P59" s="2">
        <f t="shared" si="30"/>
        <v>100</v>
      </c>
      <c r="Q59">
        <f t="shared" si="31"/>
        <v>100</v>
      </c>
      <c r="R59" s="2">
        <f t="shared" si="32"/>
        <v>100</v>
      </c>
      <c r="S59">
        <f t="shared" si="33"/>
        <v>100</v>
      </c>
      <c r="T59">
        <f t="shared" si="33"/>
        <v>100</v>
      </c>
      <c r="U59" t="e">
        <f t="shared" si="33"/>
        <v>#DIV/0!</v>
      </c>
      <c r="V59">
        <f t="shared" si="33"/>
        <v>100</v>
      </c>
      <c r="W59">
        <f t="shared" si="33"/>
        <v>100</v>
      </c>
      <c r="X59" s="2">
        <f t="shared" si="34"/>
        <v>100</v>
      </c>
      <c r="Y59">
        <f t="shared" si="35"/>
        <v>100</v>
      </c>
    </row>
    <row r="60" spans="3:25" x14ac:dyDescent="0.25">
      <c r="C60" s="2">
        <f t="shared" si="26"/>
        <v>100</v>
      </c>
      <c r="D60">
        <f t="shared" si="27"/>
        <v>100</v>
      </c>
      <c r="E60">
        <f t="shared" si="27"/>
        <v>100</v>
      </c>
      <c r="F60">
        <f t="shared" si="27"/>
        <v>100</v>
      </c>
      <c r="G60">
        <f t="shared" si="27"/>
        <v>100</v>
      </c>
      <c r="H60">
        <f t="shared" si="27"/>
        <v>100</v>
      </c>
      <c r="I60" s="2">
        <f t="shared" si="28"/>
        <v>60</v>
      </c>
      <c r="J60">
        <f t="shared" si="29"/>
        <v>100</v>
      </c>
      <c r="K60">
        <f t="shared" si="29"/>
        <v>100</v>
      </c>
      <c r="L60">
        <f t="shared" si="29"/>
        <v>50</v>
      </c>
      <c r="M60">
        <f t="shared" si="29"/>
        <v>0</v>
      </c>
      <c r="N60">
        <f t="shared" si="29"/>
        <v>50</v>
      </c>
      <c r="P60" s="2">
        <f t="shared" si="30"/>
        <v>0</v>
      </c>
      <c r="Q60">
        <f t="shared" si="31"/>
        <v>0</v>
      </c>
      <c r="R60" s="2">
        <f t="shared" si="32"/>
        <v>100</v>
      </c>
      <c r="S60">
        <f t="shared" si="33"/>
        <v>100</v>
      </c>
      <c r="T60">
        <f t="shared" si="33"/>
        <v>100</v>
      </c>
      <c r="U60" t="e">
        <f t="shared" si="33"/>
        <v>#DIV/0!</v>
      </c>
      <c r="V60">
        <f t="shared" si="33"/>
        <v>100</v>
      </c>
      <c r="W60">
        <f t="shared" si="33"/>
        <v>100</v>
      </c>
      <c r="X60" s="2">
        <f t="shared" si="34"/>
        <v>100</v>
      </c>
      <c r="Y60">
        <f t="shared" si="35"/>
        <v>100</v>
      </c>
    </row>
    <row r="61" spans="3:25" x14ac:dyDescent="0.25">
      <c r="C61" s="2">
        <f t="shared" si="26"/>
        <v>100</v>
      </c>
      <c r="D61">
        <f t="shared" si="27"/>
        <v>100</v>
      </c>
      <c r="E61">
        <f t="shared" si="27"/>
        <v>100</v>
      </c>
      <c r="F61">
        <f t="shared" si="27"/>
        <v>100</v>
      </c>
      <c r="G61">
        <f t="shared" si="27"/>
        <v>100</v>
      </c>
      <c r="H61">
        <f t="shared" si="27"/>
        <v>100</v>
      </c>
      <c r="I61" s="2">
        <f t="shared" si="28"/>
        <v>100</v>
      </c>
      <c r="J61">
        <f t="shared" si="29"/>
        <v>100</v>
      </c>
      <c r="K61">
        <f t="shared" si="29"/>
        <v>100</v>
      </c>
      <c r="L61">
        <f t="shared" si="29"/>
        <v>100</v>
      </c>
      <c r="M61">
        <f t="shared" si="29"/>
        <v>100</v>
      </c>
      <c r="N61">
        <f t="shared" si="29"/>
        <v>100</v>
      </c>
      <c r="P61" s="2">
        <f t="shared" si="30"/>
        <v>0</v>
      </c>
      <c r="Q61">
        <f t="shared" si="31"/>
        <v>0</v>
      </c>
      <c r="R61" s="2">
        <f t="shared" si="32"/>
        <v>100</v>
      </c>
      <c r="S61">
        <f t="shared" si="33"/>
        <v>100</v>
      </c>
      <c r="T61">
        <f t="shared" si="33"/>
        <v>100</v>
      </c>
      <c r="U61" t="e">
        <f t="shared" si="33"/>
        <v>#DIV/0!</v>
      </c>
      <c r="V61">
        <f t="shared" si="33"/>
        <v>100</v>
      </c>
      <c r="W61">
        <f t="shared" si="33"/>
        <v>100</v>
      </c>
      <c r="X61" s="2">
        <f t="shared" si="34"/>
        <v>100</v>
      </c>
      <c r="Y61">
        <f t="shared" si="35"/>
        <v>100</v>
      </c>
    </row>
    <row r="62" spans="3:25" x14ac:dyDescent="0.25">
      <c r="C62" s="2">
        <f t="shared" si="26"/>
        <v>0</v>
      </c>
      <c r="D62">
        <f t="shared" si="27"/>
        <v>0</v>
      </c>
      <c r="E62">
        <f t="shared" si="27"/>
        <v>0</v>
      </c>
      <c r="F62">
        <f t="shared" si="27"/>
        <v>0</v>
      </c>
      <c r="G62">
        <f t="shared" si="27"/>
        <v>0</v>
      </c>
      <c r="H62">
        <f t="shared" si="27"/>
        <v>0</v>
      </c>
      <c r="I62" s="2">
        <f t="shared" si="28"/>
        <v>0</v>
      </c>
      <c r="J62">
        <f t="shared" si="29"/>
        <v>0</v>
      </c>
      <c r="K62">
        <f t="shared" si="29"/>
        <v>0</v>
      </c>
      <c r="L62">
        <f t="shared" si="29"/>
        <v>0</v>
      </c>
      <c r="M62">
        <f t="shared" si="29"/>
        <v>0</v>
      </c>
      <c r="N62">
        <f t="shared" si="29"/>
        <v>0</v>
      </c>
      <c r="P62" s="2">
        <f t="shared" si="30"/>
        <v>100</v>
      </c>
      <c r="Q62">
        <f t="shared" si="31"/>
        <v>100</v>
      </c>
      <c r="R62" s="2">
        <f t="shared" si="32"/>
        <v>0</v>
      </c>
      <c r="S62">
        <f t="shared" si="33"/>
        <v>0</v>
      </c>
      <c r="T62">
        <f t="shared" si="33"/>
        <v>0</v>
      </c>
      <c r="U62" t="e">
        <f t="shared" si="33"/>
        <v>#DIV/0!</v>
      </c>
      <c r="V62">
        <f t="shared" si="33"/>
        <v>0</v>
      </c>
      <c r="W62">
        <f t="shared" si="33"/>
        <v>0</v>
      </c>
      <c r="X62" s="2">
        <f t="shared" si="34"/>
        <v>0</v>
      </c>
      <c r="Y62">
        <f t="shared" si="35"/>
        <v>0</v>
      </c>
    </row>
    <row r="63" spans="3:25" x14ac:dyDescent="0.25">
      <c r="C63" s="2">
        <f t="shared" si="26"/>
        <v>0</v>
      </c>
      <c r="D63">
        <f t="shared" si="27"/>
        <v>0</v>
      </c>
      <c r="E63">
        <f t="shared" si="27"/>
        <v>0</v>
      </c>
      <c r="F63">
        <f t="shared" si="27"/>
        <v>0</v>
      </c>
      <c r="G63">
        <f t="shared" si="27"/>
        <v>0</v>
      </c>
      <c r="H63">
        <f t="shared" si="27"/>
        <v>0</v>
      </c>
      <c r="I63" s="2">
        <f t="shared" si="28"/>
        <v>40</v>
      </c>
      <c r="J63">
        <f t="shared" si="29"/>
        <v>0</v>
      </c>
      <c r="K63">
        <f t="shared" si="29"/>
        <v>0</v>
      </c>
      <c r="L63">
        <f t="shared" si="29"/>
        <v>50</v>
      </c>
      <c r="M63">
        <f t="shared" si="29"/>
        <v>100</v>
      </c>
      <c r="N63">
        <f t="shared" si="29"/>
        <v>50</v>
      </c>
      <c r="P63" s="2">
        <f t="shared" si="30"/>
        <v>100</v>
      </c>
      <c r="Q63">
        <f t="shared" si="31"/>
        <v>100</v>
      </c>
      <c r="R63" s="2">
        <f t="shared" si="32"/>
        <v>0</v>
      </c>
      <c r="S63">
        <f t="shared" si="33"/>
        <v>0</v>
      </c>
      <c r="T63">
        <f t="shared" si="33"/>
        <v>0</v>
      </c>
      <c r="U63" t="e">
        <f t="shared" si="33"/>
        <v>#DIV/0!</v>
      </c>
      <c r="V63">
        <f t="shared" si="33"/>
        <v>0</v>
      </c>
      <c r="W63">
        <f t="shared" si="33"/>
        <v>0</v>
      </c>
      <c r="X63" s="2">
        <f t="shared" si="34"/>
        <v>0</v>
      </c>
      <c r="Y63">
        <f t="shared" si="35"/>
        <v>0</v>
      </c>
    </row>
    <row r="64" spans="3:25" x14ac:dyDescent="0.25">
      <c r="C64" s="2">
        <f t="shared" si="26"/>
        <v>0</v>
      </c>
      <c r="D64">
        <f t="shared" si="27"/>
        <v>0</v>
      </c>
      <c r="E64">
        <f t="shared" si="27"/>
        <v>0</v>
      </c>
      <c r="F64">
        <f t="shared" si="27"/>
        <v>0</v>
      </c>
      <c r="G64">
        <f t="shared" si="27"/>
        <v>0</v>
      </c>
      <c r="H64">
        <f t="shared" si="27"/>
        <v>0</v>
      </c>
      <c r="I64" s="2">
        <f t="shared" si="28"/>
        <v>0</v>
      </c>
      <c r="J64">
        <f t="shared" si="29"/>
        <v>0</v>
      </c>
      <c r="K64">
        <f t="shared" si="29"/>
        <v>0</v>
      </c>
      <c r="L64">
        <f t="shared" si="29"/>
        <v>0</v>
      </c>
      <c r="M64">
        <f t="shared" si="29"/>
        <v>0</v>
      </c>
      <c r="N64">
        <f t="shared" si="29"/>
        <v>0</v>
      </c>
      <c r="P64" s="2">
        <f t="shared" si="30"/>
        <v>0</v>
      </c>
      <c r="Q64">
        <f t="shared" si="31"/>
        <v>0</v>
      </c>
      <c r="R64" s="2">
        <f t="shared" si="32"/>
        <v>0</v>
      </c>
      <c r="S64">
        <f t="shared" si="33"/>
        <v>0</v>
      </c>
      <c r="T64">
        <f t="shared" si="33"/>
        <v>0</v>
      </c>
      <c r="U64" t="e">
        <f t="shared" si="33"/>
        <v>#DIV/0!</v>
      </c>
      <c r="V64">
        <f t="shared" si="33"/>
        <v>0</v>
      </c>
      <c r="W64">
        <f t="shared" si="33"/>
        <v>0</v>
      </c>
      <c r="X64" s="2">
        <f t="shared" si="34"/>
        <v>0</v>
      </c>
      <c r="Y64">
        <f t="shared" si="35"/>
        <v>0</v>
      </c>
    </row>
    <row r="65" spans="3:27" x14ac:dyDescent="0.25">
      <c r="C65" s="2">
        <f t="shared" si="26"/>
        <v>0</v>
      </c>
      <c r="D65">
        <f>100*ROUND(D45,2)</f>
        <v>0</v>
      </c>
      <c r="E65">
        <f t="shared" ref="E65:H65" si="36">100*ROUND(E45,2)</f>
        <v>0</v>
      </c>
      <c r="F65">
        <f t="shared" si="36"/>
        <v>0</v>
      </c>
      <c r="G65">
        <f t="shared" si="36"/>
        <v>0</v>
      </c>
      <c r="H65">
        <f t="shared" si="36"/>
        <v>0</v>
      </c>
      <c r="I65" s="2">
        <f t="shared" si="28"/>
        <v>40</v>
      </c>
      <c r="J65">
        <f t="shared" si="29"/>
        <v>0</v>
      </c>
      <c r="K65">
        <f t="shared" si="29"/>
        <v>0</v>
      </c>
      <c r="L65">
        <f t="shared" si="29"/>
        <v>50</v>
      </c>
      <c r="M65">
        <f t="shared" si="29"/>
        <v>100</v>
      </c>
      <c r="N65">
        <f t="shared" si="29"/>
        <v>50</v>
      </c>
      <c r="P65" s="2">
        <f t="shared" si="30"/>
        <v>0</v>
      </c>
      <c r="Q65">
        <f t="shared" si="31"/>
        <v>0</v>
      </c>
      <c r="R65" s="2">
        <f t="shared" si="32"/>
        <v>0</v>
      </c>
      <c r="S65">
        <f t="shared" si="33"/>
        <v>0</v>
      </c>
      <c r="T65">
        <f t="shared" si="33"/>
        <v>0</v>
      </c>
      <c r="U65" t="e">
        <f t="shared" si="33"/>
        <v>#DIV/0!</v>
      </c>
      <c r="V65">
        <f t="shared" si="33"/>
        <v>0</v>
      </c>
      <c r="W65">
        <f t="shared" si="33"/>
        <v>0</v>
      </c>
      <c r="X65" s="2">
        <f t="shared" si="34"/>
        <v>0</v>
      </c>
      <c r="Y65">
        <f t="shared" si="35"/>
        <v>0</v>
      </c>
    </row>
    <row r="66" spans="3:27" x14ac:dyDescent="0.25">
      <c r="C66" s="2">
        <f t="shared" si="26"/>
        <v>0</v>
      </c>
      <c r="D66">
        <f t="shared" si="27"/>
        <v>0</v>
      </c>
      <c r="E66">
        <f t="shared" si="27"/>
        <v>0</v>
      </c>
      <c r="F66">
        <f t="shared" si="27"/>
        <v>0</v>
      </c>
      <c r="G66">
        <f t="shared" si="27"/>
        <v>0</v>
      </c>
      <c r="H66">
        <f t="shared" si="27"/>
        <v>0</v>
      </c>
      <c r="I66" s="2">
        <f t="shared" si="28"/>
        <v>0</v>
      </c>
      <c r="J66">
        <f t="shared" si="29"/>
        <v>0</v>
      </c>
      <c r="K66">
        <f t="shared" si="29"/>
        <v>0</v>
      </c>
      <c r="L66">
        <f t="shared" si="29"/>
        <v>0</v>
      </c>
      <c r="M66">
        <f t="shared" si="29"/>
        <v>0</v>
      </c>
      <c r="N66">
        <f t="shared" si="29"/>
        <v>0</v>
      </c>
      <c r="P66" s="2">
        <f t="shared" si="30"/>
        <v>0</v>
      </c>
      <c r="Q66">
        <f t="shared" si="31"/>
        <v>0</v>
      </c>
      <c r="R66" s="2">
        <f t="shared" si="32"/>
        <v>0</v>
      </c>
      <c r="S66">
        <f t="shared" si="33"/>
        <v>0</v>
      </c>
      <c r="T66">
        <f t="shared" si="33"/>
        <v>0</v>
      </c>
      <c r="U66" t="e">
        <f t="shared" si="33"/>
        <v>#DIV/0!</v>
      </c>
      <c r="V66">
        <f t="shared" si="33"/>
        <v>0</v>
      </c>
      <c r="W66">
        <f t="shared" si="33"/>
        <v>0</v>
      </c>
      <c r="X66" s="2">
        <f t="shared" si="34"/>
        <v>0</v>
      </c>
      <c r="Y66">
        <f t="shared" si="35"/>
        <v>0</v>
      </c>
    </row>
    <row r="69" spans="3:27" x14ac:dyDescent="0.25">
      <c r="C69" s="2" t="s">
        <v>52</v>
      </c>
      <c r="I69" s="2" t="s">
        <v>53</v>
      </c>
      <c r="P69" s="2" t="s">
        <v>54</v>
      </c>
      <c r="R69" s="2" t="s">
        <v>55</v>
      </c>
      <c r="X69" s="2" t="s">
        <v>56</v>
      </c>
    </row>
    <row r="70" spans="3:27" x14ac:dyDescent="0.25">
      <c r="C70" s="5">
        <v>0.15420871251641585</v>
      </c>
      <c r="I70" s="5">
        <v>0.26334107586313082</v>
      </c>
      <c r="P70" s="5">
        <v>0.2604840081583098</v>
      </c>
      <c r="R70" s="5">
        <v>0.23082398608372942</v>
      </c>
      <c r="X70" s="5">
        <v>9.1142217378414145E-2</v>
      </c>
    </row>
    <row r="73" spans="3:27" x14ac:dyDescent="0.25">
      <c r="C73">
        <v>0.1542</v>
      </c>
      <c r="I73">
        <v>0.26329999999999998</v>
      </c>
      <c r="P73">
        <v>0.26050000000000001</v>
      </c>
      <c r="R73">
        <v>0.23080000000000001</v>
      </c>
      <c r="X73">
        <v>9.11E-2</v>
      </c>
      <c r="AA73">
        <f>SUM(C73:Z73)</f>
        <v>0.9998999999999999</v>
      </c>
    </row>
    <row r="75" spans="3:27" x14ac:dyDescent="0.25">
      <c r="C75">
        <v>0.15429999999999999</v>
      </c>
      <c r="I75">
        <v>0.26329999999999998</v>
      </c>
      <c r="P75">
        <v>0.26050000000000001</v>
      </c>
      <c r="R75">
        <v>0.23080000000000001</v>
      </c>
      <c r="X75">
        <v>9.11E-2</v>
      </c>
      <c r="AA75" s="6">
        <f>SUM(C75:Z75)</f>
        <v>0.99999999999999989</v>
      </c>
    </row>
    <row r="77" spans="3:27" x14ac:dyDescent="0.25">
      <c r="C77">
        <v>100</v>
      </c>
      <c r="D77">
        <v>60</v>
      </c>
      <c r="E77">
        <v>100</v>
      </c>
      <c r="F77">
        <v>100</v>
      </c>
      <c r="G77">
        <v>100</v>
      </c>
    </row>
    <row r="78" spans="3:27" x14ac:dyDescent="0.25">
      <c r="C78">
        <v>100</v>
      </c>
      <c r="D78">
        <v>100</v>
      </c>
      <c r="E78">
        <v>100</v>
      </c>
      <c r="F78">
        <v>100</v>
      </c>
      <c r="G78">
        <v>100</v>
      </c>
    </row>
    <row r="79" spans="3:27" x14ac:dyDescent="0.25">
      <c r="C79">
        <v>100</v>
      </c>
      <c r="D79">
        <v>60</v>
      </c>
      <c r="E79">
        <v>0</v>
      </c>
      <c r="F79">
        <v>100</v>
      </c>
      <c r="G79">
        <v>100</v>
      </c>
    </row>
    <row r="80" spans="3:27" x14ac:dyDescent="0.25">
      <c r="C80">
        <v>100</v>
      </c>
      <c r="D80">
        <v>100</v>
      </c>
      <c r="E80">
        <v>0</v>
      </c>
      <c r="F80">
        <v>100</v>
      </c>
      <c r="G80">
        <v>100</v>
      </c>
    </row>
    <row r="81" spans="3:7" x14ac:dyDescent="0.25">
      <c r="C81">
        <v>0</v>
      </c>
      <c r="D81">
        <v>0</v>
      </c>
      <c r="E81">
        <v>100</v>
      </c>
      <c r="F81">
        <v>0</v>
      </c>
      <c r="G81">
        <v>0</v>
      </c>
    </row>
    <row r="82" spans="3:7" x14ac:dyDescent="0.25">
      <c r="C82">
        <v>0</v>
      </c>
      <c r="D82">
        <v>40</v>
      </c>
      <c r="E82">
        <v>100</v>
      </c>
      <c r="F82">
        <v>0</v>
      </c>
      <c r="G82">
        <v>0</v>
      </c>
    </row>
    <row r="83" spans="3:7" x14ac:dyDescent="0.25">
      <c r="C83">
        <v>0</v>
      </c>
      <c r="D83">
        <v>0</v>
      </c>
      <c r="E83">
        <v>0</v>
      </c>
      <c r="F83">
        <v>0</v>
      </c>
      <c r="G83">
        <v>0</v>
      </c>
    </row>
    <row r="84" spans="3:7" x14ac:dyDescent="0.25">
      <c r="C84">
        <v>0</v>
      </c>
      <c r="D84">
        <v>40</v>
      </c>
      <c r="E84">
        <v>0</v>
      </c>
      <c r="F84">
        <v>0</v>
      </c>
      <c r="G84">
        <v>0</v>
      </c>
    </row>
    <row r="85" spans="3:7" x14ac:dyDescent="0.25">
      <c r="C85">
        <v>0</v>
      </c>
      <c r="D85">
        <v>0</v>
      </c>
      <c r="E85">
        <v>0</v>
      </c>
      <c r="F85">
        <v>0</v>
      </c>
      <c r="G85">
        <v>0</v>
      </c>
    </row>
    <row r="86" spans="3:7" x14ac:dyDescent="0.25">
      <c r="C86">
        <v>100</v>
      </c>
      <c r="D86">
        <v>60</v>
      </c>
      <c r="E86">
        <v>100</v>
      </c>
      <c r="F86">
        <v>100</v>
      </c>
      <c r="G86">
        <v>100</v>
      </c>
    </row>
    <row r="87" spans="3:7" x14ac:dyDescent="0.25">
      <c r="C87">
        <v>100</v>
      </c>
      <c r="D87">
        <v>100</v>
      </c>
      <c r="E87">
        <v>100</v>
      </c>
      <c r="F87">
        <v>100</v>
      </c>
      <c r="G87">
        <v>100</v>
      </c>
    </row>
    <row r="88" spans="3:7" x14ac:dyDescent="0.25">
      <c r="C88">
        <v>100</v>
      </c>
      <c r="D88">
        <v>60</v>
      </c>
      <c r="E88">
        <v>0</v>
      </c>
      <c r="F88">
        <v>100</v>
      </c>
      <c r="G88">
        <v>100</v>
      </c>
    </row>
    <row r="89" spans="3:7" x14ac:dyDescent="0.25">
      <c r="C89">
        <v>100</v>
      </c>
      <c r="D89">
        <v>100</v>
      </c>
      <c r="E89">
        <v>0</v>
      </c>
      <c r="F89">
        <v>100</v>
      </c>
      <c r="G89">
        <v>100</v>
      </c>
    </row>
    <row r="90" spans="3:7" x14ac:dyDescent="0.25">
      <c r="C90">
        <v>0</v>
      </c>
      <c r="D90">
        <v>0</v>
      </c>
      <c r="E90">
        <v>100</v>
      </c>
      <c r="F90">
        <v>0</v>
      </c>
      <c r="G90">
        <v>0</v>
      </c>
    </row>
    <row r="91" spans="3:7" x14ac:dyDescent="0.25">
      <c r="C91">
        <v>0</v>
      </c>
      <c r="D91">
        <v>40</v>
      </c>
      <c r="E91">
        <v>100</v>
      </c>
      <c r="F91">
        <v>0</v>
      </c>
      <c r="G91">
        <v>0</v>
      </c>
    </row>
    <row r="92" spans="3:7" x14ac:dyDescent="0.25">
      <c r="C92">
        <v>0</v>
      </c>
      <c r="D92">
        <v>0</v>
      </c>
      <c r="E92">
        <v>0</v>
      </c>
      <c r="F92">
        <v>0</v>
      </c>
      <c r="G92">
        <v>0</v>
      </c>
    </row>
    <row r="93" spans="3:7" x14ac:dyDescent="0.25">
      <c r="C93">
        <v>0</v>
      </c>
      <c r="D93">
        <v>40</v>
      </c>
      <c r="E93">
        <v>0</v>
      </c>
      <c r="F93">
        <v>0</v>
      </c>
      <c r="G93">
        <v>0</v>
      </c>
    </row>
    <row r="94" spans="3:7" x14ac:dyDescent="0.25">
      <c r="C94">
        <v>0</v>
      </c>
      <c r="D94">
        <v>0</v>
      </c>
      <c r="E94">
        <v>0</v>
      </c>
      <c r="F94">
        <v>0</v>
      </c>
      <c r="G9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2025-12-12T15:51:29Z</dcterms:modified>
</cp:coreProperties>
</file>