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Kostas\Documents\JupyterNotebooks\Rentizelas\CISAMS\pyDecision_Example_WorkedExample_Aluminium_PromII_revised\AHP_4_1\"/>
    </mc:Choice>
  </mc:AlternateContent>
  <xr:revisionPtr revIDLastSave="0" documentId="13_ncr:1_{647FA0C2-0D91-4D85-9354-FFF1CD226B72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0" i="1" l="1"/>
  <c r="G33" i="1"/>
  <c r="G32" i="1"/>
  <c r="G31" i="1"/>
  <c r="N17" i="1"/>
  <c r="N16" i="1"/>
  <c r="N21" i="1" s="1"/>
  <c r="N26" i="1" s="1"/>
  <c r="I27" i="1"/>
  <c r="I26" i="1"/>
  <c r="I25" i="1"/>
  <c r="I21" i="1"/>
  <c r="I22" i="1"/>
  <c r="I20" i="1"/>
  <c r="I17" i="1"/>
  <c r="I16" i="1"/>
  <c r="D26" i="1"/>
  <c r="D27" i="1"/>
  <c r="D25" i="1"/>
  <c r="D21" i="1"/>
  <c r="D22" i="1"/>
  <c r="D20" i="1"/>
  <c r="D17" i="1"/>
  <c r="D16" i="1"/>
  <c r="N25" i="1" l="1"/>
  <c r="N22" i="1"/>
  <c r="N27" i="1" s="1"/>
</calcChain>
</file>

<file path=xl/sharedStrings.xml><?xml version="1.0" encoding="utf-8"?>
<sst xmlns="http://schemas.openxmlformats.org/spreadsheetml/2006/main" count="24" uniqueCount="14">
  <si>
    <t>Circularity</t>
  </si>
  <si>
    <t>min</t>
  </si>
  <si>
    <t>max</t>
  </si>
  <si>
    <t>Environmental</t>
  </si>
  <si>
    <t>Social</t>
  </si>
  <si>
    <t>weights</t>
  </si>
  <si>
    <t>priority score</t>
  </si>
  <si>
    <t>alt1</t>
  </si>
  <si>
    <t>alt2</t>
  </si>
  <si>
    <t>alt3</t>
  </si>
  <si>
    <t>pillar1</t>
  </si>
  <si>
    <t>pillar2</t>
  </si>
  <si>
    <t>pillar3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</si>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</sst>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0" fontId="0" fillId="2" borderId="0" xfId="0" applyFill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Φύλλο1!$D$41</c:f>
              <c:strCache>
                <c:ptCount val="1"/>
                <c:pt idx="0">
                  <c:v>priority 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Φύλλο1!$C$42:$C$44</c:f>
              <c:strCache>
                <c:ptCount val="3"/>
                <c:pt idx="0">
                  <c:v>alt2</c:v>
                </c:pt>
                <c:pt idx="1">
                  <c:v>alt3</c:v>
                </c:pt>
                <c:pt idx="2">
                  <c:v>alt1</c:v>
                </c:pt>
              </c:strCache>
            </c:strRef>
          </c:cat>
          <c:val>
            <c:numRef>
              <c:f>Φύλλο1!$D$42:$D$44</c:f>
              <c:numCache>
                <c:formatCode>0.00</c:formatCode>
                <c:ptCount val="3"/>
                <c:pt idx="0">
                  <c:v>84.381820000000005</c:v>
                </c:pt>
                <c:pt idx="1">
                  <c:v>60.348208779999993</c:v>
                </c:pt>
                <c:pt idx="2">
                  <c:v>15.618181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E3-46EE-92B3-7E03882C23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3205151"/>
        <c:axId val="1163207071"/>
      </c:barChart>
      <c:catAx>
        <c:axId val="1163205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207071"/>
        <c:crosses val="autoZero"/>
        <c:auto val="1"/>
        <c:lblAlgn val="ctr"/>
        <c:lblOffset val="100"/>
        <c:noMultiLvlLbl val="0"/>
      </c:catAx>
      <c:valAx>
        <c:axId val="116320707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205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AUGMECON2 results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Φύλλο1!$C$31</c:f>
              <c:strCache>
                <c:ptCount val="1"/>
                <c:pt idx="0">
                  <c:v>alt1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Φύλλο1!$D$30:$F$30</c:f>
              <c:strCache>
                <c:ptCount val="3"/>
                <c:pt idx="0">
                  <c:v>pillar1</c:v>
                </c:pt>
                <c:pt idx="1">
                  <c:v>pillar2</c:v>
                </c:pt>
                <c:pt idx="2">
                  <c:v>pillar3</c:v>
                </c:pt>
              </c:strCache>
            </c:strRef>
          </c:cat>
          <c:val>
            <c:numRef>
              <c:f>Φύλλο1!$D$31:$F$31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FF-4409-83F9-7D0CB0192519}"/>
            </c:ext>
          </c:extLst>
        </c:ser>
        <c:ser>
          <c:idx val="1"/>
          <c:order val="1"/>
          <c:tx>
            <c:strRef>
              <c:f>Φύλλο1!$C$32</c:f>
              <c:strCache>
                <c:ptCount val="1"/>
                <c:pt idx="0">
                  <c:v>alt2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Φύλλο1!$D$30:$F$30</c:f>
              <c:strCache>
                <c:ptCount val="3"/>
                <c:pt idx="0">
                  <c:v>pillar1</c:v>
                </c:pt>
                <c:pt idx="1">
                  <c:v>pillar2</c:v>
                </c:pt>
                <c:pt idx="2">
                  <c:v>pillar3</c:v>
                </c:pt>
              </c:strCache>
            </c:strRef>
          </c:cat>
          <c:val>
            <c:numRef>
              <c:f>Φύλλο1!$D$32:$F$32</c:f>
              <c:numCache>
                <c:formatCode>General</c:formatCode>
                <c:ptCount val="3"/>
                <c:pt idx="0">
                  <c:v>100</c:v>
                </c:pt>
                <c:pt idx="1">
                  <c:v>100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FF-4409-83F9-7D0CB0192519}"/>
            </c:ext>
          </c:extLst>
        </c:ser>
        <c:ser>
          <c:idx val="2"/>
          <c:order val="2"/>
          <c:tx>
            <c:strRef>
              <c:f>Φύλλο1!$C$33</c:f>
              <c:strCache>
                <c:ptCount val="1"/>
                <c:pt idx="0">
                  <c:v>alt3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Φύλλο1!$D$30:$F$30</c:f>
              <c:strCache>
                <c:ptCount val="3"/>
                <c:pt idx="0">
                  <c:v>pillar1</c:v>
                </c:pt>
                <c:pt idx="1">
                  <c:v>pillar2</c:v>
                </c:pt>
                <c:pt idx="2">
                  <c:v>pillar3</c:v>
                </c:pt>
              </c:strCache>
            </c:strRef>
          </c:cat>
          <c:val>
            <c:numRef>
              <c:f>Φύλλο1!$D$33:$F$33</c:f>
              <c:numCache>
                <c:formatCode>General</c:formatCode>
                <c:ptCount val="3"/>
                <c:pt idx="0">
                  <c:v>65</c:v>
                </c:pt>
                <c:pt idx="1">
                  <c:v>50</c:v>
                </c:pt>
                <c:pt idx="2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1FF-4409-83F9-7D0CB01925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0243935"/>
        <c:axId val="790246335"/>
      </c:barChart>
      <c:catAx>
        <c:axId val="790243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0246335"/>
        <c:crosses val="autoZero"/>
        <c:auto val="1"/>
        <c:lblAlgn val="ctr"/>
        <c:lblOffset val="100"/>
        <c:noMultiLvlLbl val="0"/>
      </c:catAx>
      <c:valAx>
        <c:axId val="790246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024393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40</xdr:row>
      <xdr:rowOff>185737</xdr:rowOff>
    </xdr:from>
    <xdr:to>
      <xdr:col>12</xdr:col>
      <xdr:colOff>342900</xdr:colOff>
      <xdr:row>55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E3227B-BB5F-8708-20D5-4E2639FCBA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209550</xdr:colOff>
      <xdr:row>28</xdr:row>
      <xdr:rowOff>157162</xdr:rowOff>
    </xdr:from>
    <xdr:to>
      <xdr:col>18</xdr:col>
      <xdr:colOff>514350</xdr:colOff>
      <xdr:row>43</xdr:row>
      <xdr:rowOff>42862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4F31A96-46AE-94B7-6137-9543C4DD23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S44"/>
  <sheetViews>
    <sheetView tabSelected="1" workbookViewId="0">
      <selection activeCell="N5" sqref="N5:N7"/>
    </sheetView>
  </sheetViews>
  <sheetFormatPr defaultRowHeight="15" x14ac:dyDescent="0.25"/>
  <cols>
    <col min="4" max="4" width="9.28515625" customWidth="1"/>
    <col min="7" max="7" width="12.7109375" bestFit="1" customWidth="1"/>
    <col min="8" max="8" width="14.140625" bestFit="1" customWidth="1"/>
  </cols>
  <sheetData>
    <row r="3" spans="2:14" x14ac:dyDescent="0.25">
      <c r="C3" t="s">
        <v>0</v>
      </c>
      <c r="H3" t="s">
        <v>3</v>
      </c>
      <c r="M3" t="s">
        <v>4</v>
      </c>
    </row>
    <row r="5" spans="2:14" x14ac:dyDescent="0.25">
      <c r="C5">
        <v>2</v>
      </c>
      <c r="D5">
        <v>0.82269999999999999</v>
      </c>
      <c r="H5">
        <v>2</v>
      </c>
      <c r="I5">
        <v>0.86580000000000001</v>
      </c>
      <c r="M5" s="6">
        <v>1</v>
      </c>
      <c r="N5" s="7">
        <v>0.91303999999999896</v>
      </c>
    </row>
    <row r="6" spans="2:14" x14ac:dyDescent="0.25">
      <c r="C6">
        <v>3</v>
      </c>
      <c r="D6">
        <v>0.17730000000000001</v>
      </c>
      <c r="H6">
        <v>3</v>
      </c>
      <c r="I6">
        <v>0</v>
      </c>
      <c r="M6" s="6">
        <v>3</v>
      </c>
      <c r="N6" s="7">
        <v>-1.9259999999999999E-2</v>
      </c>
    </row>
    <row r="7" spans="2:14" x14ac:dyDescent="0.25">
      <c r="C7">
        <v>1</v>
      </c>
      <c r="D7">
        <v>-1</v>
      </c>
      <c r="H7">
        <v>1</v>
      </c>
      <c r="I7">
        <v>-0.86580000000000001</v>
      </c>
      <c r="M7" s="6">
        <v>2</v>
      </c>
      <c r="N7" s="7">
        <v>-0.89377999999999902</v>
      </c>
    </row>
    <row r="11" spans="2:14" x14ac:dyDescent="0.25">
      <c r="C11">
        <v>1</v>
      </c>
      <c r="D11">
        <v>-1</v>
      </c>
      <c r="H11">
        <v>1</v>
      </c>
      <c r="I11">
        <v>-0.86580000000000001</v>
      </c>
      <c r="M11" s="6">
        <v>1</v>
      </c>
      <c r="N11" s="7">
        <v>0.91303999999999896</v>
      </c>
    </row>
    <row r="12" spans="2:14" x14ac:dyDescent="0.25">
      <c r="C12">
        <v>2</v>
      </c>
      <c r="D12">
        <v>0.82269999999999999</v>
      </c>
      <c r="H12">
        <v>2</v>
      </c>
      <c r="I12">
        <v>0.86580000000000001</v>
      </c>
      <c r="M12" s="6">
        <v>2</v>
      </c>
      <c r="N12" s="7">
        <v>-0.89377999999999902</v>
      </c>
    </row>
    <row r="13" spans="2:14" x14ac:dyDescent="0.25">
      <c r="C13">
        <v>3</v>
      </c>
      <c r="D13">
        <v>0.17730000000000001</v>
      </c>
      <c r="H13">
        <v>3</v>
      </c>
      <c r="I13">
        <v>0</v>
      </c>
      <c r="M13" s="6">
        <v>3</v>
      </c>
      <c r="N13" s="7">
        <v>-1.9259999999999999E-2</v>
      </c>
    </row>
    <row r="16" spans="2:14" x14ac:dyDescent="0.25">
      <c r="B16" t="s">
        <v>1</v>
      </c>
      <c r="D16">
        <f>MIN(D11:D13)</f>
        <v>-1</v>
      </c>
      <c r="I16">
        <f>MIN(I11:I13)</f>
        <v>-0.86580000000000001</v>
      </c>
      <c r="N16">
        <f>MIN(N11:N13)</f>
        <v>-0.89377999999999902</v>
      </c>
    </row>
    <row r="17" spans="2:19" x14ac:dyDescent="0.25">
      <c r="B17" t="s">
        <v>2</v>
      </c>
      <c r="D17">
        <f>MAX(D11:D13)</f>
        <v>0.82269999999999999</v>
      </c>
      <c r="I17">
        <f>MAX(I11:I13)</f>
        <v>0.86580000000000001</v>
      </c>
      <c r="N17">
        <f>MAX(N11:N13)</f>
        <v>0.91303999999999896</v>
      </c>
    </row>
    <row r="20" spans="2:19" x14ac:dyDescent="0.25">
      <c r="C20">
        <v>1</v>
      </c>
      <c r="D20">
        <f>(D11-$D$16)/($D$17-$D$16)</f>
        <v>0</v>
      </c>
      <c r="H20">
        <v>1</v>
      </c>
      <c r="I20">
        <f>(I11-$I$16)/($I$17-$I$16)</f>
        <v>0</v>
      </c>
      <c r="M20">
        <v>1</v>
      </c>
      <c r="N20">
        <f>(N11-$N$16)/($N$17-$N$16)</f>
        <v>1</v>
      </c>
    </row>
    <row r="21" spans="2:19" x14ac:dyDescent="0.25">
      <c r="C21">
        <v>2</v>
      </c>
      <c r="D21">
        <f t="shared" ref="D21:D22" si="0">(D12-$D$16)/($D$17-$D$16)</f>
        <v>1</v>
      </c>
      <c r="H21">
        <v>2</v>
      </c>
      <c r="I21">
        <f t="shared" ref="I21:I22" si="1">(I12-$I$16)/($I$17-$I$16)</f>
        <v>1</v>
      </c>
      <c r="M21">
        <v>2</v>
      </c>
      <c r="N21">
        <f t="shared" ref="N21:N22" si="2">(N12-$N$16)/($N$17-$N$16)</f>
        <v>0</v>
      </c>
    </row>
    <row r="22" spans="2:19" x14ac:dyDescent="0.25">
      <c r="C22">
        <v>3</v>
      </c>
      <c r="D22">
        <f t="shared" si="0"/>
        <v>0.64590991386404784</v>
      </c>
      <c r="H22">
        <v>3</v>
      </c>
      <c r="I22">
        <f t="shared" si="1"/>
        <v>0.5</v>
      </c>
      <c r="M22">
        <v>3</v>
      </c>
      <c r="N22">
        <f t="shared" si="2"/>
        <v>0.48401058212771614</v>
      </c>
    </row>
    <row r="25" spans="2:19" x14ac:dyDescent="0.25">
      <c r="C25">
        <v>1</v>
      </c>
      <c r="D25" s="2">
        <f>100*ROUND(D20,2)</f>
        <v>0</v>
      </c>
      <c r="H25">
        <v>1</v>
      </c>
      <c r="I25" s="2">
        <f>100*ROUND(I20,2)</f>
        <v>0</v>
      </c>
      <c r="M25">
        <v>1</v>
      </c>
      <c r="N25" s="2">
        <f>100*ROUND(N20,2)</f>
        <v>100</v>
      </c>
    </row>
    <row r="26" spans="2:19" x14ac:dyDescent="0.25">
      <c r="C26">
        <v>2</v>
      </c>
      <c r="D26" s="2">
        <f t="shared" ref="D26:D27" si="3">100*ROUND(D21,2)</f>
        <v>100</v>
      </c>
      <c r="H26">
        <v>2</v>
      </c>
      <c r="I26" s="2">
        <f t="shared" ref="I26:I27" si="4">100*ROUND(I21,2)</f>
        <v>100</v>
      </c>
      <c r="M26">
        <v>2</v>
      </c>
      <c r="N26" s="2">
        <f t="shared" ref="N26:N27" si="5">100*ROUND(N21,2)</f>
        <v>0</v>
      </c>
    </row>
    <row r="27" spans="2:19" x14ac:dyDescent="0.25">
      <c r="C27">
        <v>3</v>
      </c>
      <c r="D27" s="2">
        <f t="shared" si="3"/>
        <v>65</v>
      </c>
      <c r="H27">
        <v>3</v>
      </c>
      <c r="I27" s="2">
        <f t="shared" si="4"/>
        <v>50</v>
      </c>
      <c r="M27">
        <v>3</v>
      </c>
      <c r="N27" s="2">
        <f t="shared" si="5"/>
        <v>48</v>
      </c>
    </row>
    <row r="30" spans="2:19" x14ac:dyDescent="0.25">
      <c r="C30" t="s">
        <v>13</v>
      </c>
      <c r="D30" t="s">
        <v>10</v>
      </c>
      <c r="E30" t="s">
        <v>11</v>
      </c>
      <c r="F30" t="s">
        <v>12</v>
      </c>
      <c r="G30" t="s">
        <v>6</v>
      </c>
      <c r="Q30" t="s">
        <v>5</v>
      </c>
    </row>
    <row r="31" spans="2:19" x14ac:dyDescent="0.25">
      <c r="C31" t="s">
        <v>7</v>
      </c>
      <c r="D31">
        <v>0</v>
      </c>
      <c r="E31">
        <v>0</v>
      </c>
      <c r="F31">
        <v>100</v>
      </c>
      <c r="G31" s="3">
        <f>SUMPRODUCT($Q$31:$S$31,D31:F31)</f>
        <v>15.618181</v>
      </c>
      <c r="Q31" s="1">
        <v>0.65864418999999996</v>
      </c>
      <c r="R31" s="1">
        <v>0.18517401</v>
      </c>
      <c r="S31" s="1">
        <v>0.15618181</v>
      </c>
    </row>
    <row r="32" spans="2:19" x14ac:dyDescent="0.25">
      <c r="C32" t="s">
        <v>8</v>
      </c>
      <c r="D32">
        <v>100</v>
      </c>
      <c r="E32">
        <v>100</v>
      </c>
      <c r="F32">
        <v>0</v>
      </c>
      <c r="G32" s="3">
        <f>SUMPRODUCT($Q$31:$S$31,D32:F32)</f>
        <v>84.381820000000005</v>
      </c>
    </row>
    <row r="33" spans="3:7" x14ac:dyDescent="0.25">
      <c r="C33" t="s">
        <v>9</v>
      </c>
      <c r="D33">
        <v>65</v>
      </c>
      <c r="E33">
        <v>50</v>
      </c>
      <c r="F33">
        <v>48</v>
      </c>
      <c r="G33" s="3">
        <f>SUMPRODUCT($Q$31:$S$31,D33:F33)</f>
        <v>59.567299729999988</v>
      </c>
    </row>
    <row r="36" spans="3:7" x14ac:dyDescent="0.25">
      <c r="C36" t="s">
        <v>13</v>
      </c>
      <c r="D36" t="s">
        <v>6</v>
      </c>
    </row>
    <row r="37" spans="3:7" x14ac:dyDescent="0.25">
      <c r="C37" t="s">
        <v>7</v>
      </c>
      <c r="D37" s="5">
        <v>15.618181</v>
      </c>
    </row>
    <row r="38" spans="3:7" x14ac:dyDescent="0.25">
      <c r="C38" t="s">
        <v>8</v>
      </c>
      <c r="D38" s="5">
        <v>84.381820000000005</v>
      </c>
    </row>
    <row r="39" spans="3:7" x14ac:dyDescent="0.25">
      <c r="C39" t="s">
        <v>9</v>
      </c>
      <c r="D39" s="5">
        <v>60.348208779999993</v>
      </c>
    </row>
    <row r="41" spans="3:7" x14ac:dyDescent="0.25">
      <c r="C41" t="s">
        <v>13</v>
      </c>
      <c r="D41" t="s">
        <v>6</v>
      </c>
    </row>
    <row r="42" spans="3:7" x14ac:dyDescent="0.25">
      <c r="C42" t="s">
        <v>8</v>
      </c>
      <c r="D42" s="4">
        <v>84.381820000000005</v>
      </c>
    </row>
    <row r="43" spans="3:7" x14ac:dyDescent="0.25">
      <c r="C43" t="s">
        <v>9</v>
      </c>
      <c r="D43" s="4">
        <v>60.348208779999993</v>
      </c>
    </row>
    <row r="44" spans="3:7" x14ac:dyDescent="0.25">
      <c r="C44" t="s">
        <v>7</v>
      </c>
      <c r="D44" s="4">
        <v>15.618181</v>
      </c>
    </row>
  </sheetData>
  <sortState xmlns:xlrd2="http://schemas.microsoft.com/office/spreadsheetml/2017/richdata2" ref="M11:N13">
    <sortCondition ref="M11:M13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Kostas</dc:creator>
  <cp:lastModifiedBy>FLORIOS KONSTANTINOS;ΦΛΩΡΙΟΣ ΚΩΝΣΤΑΝΤΙΝΟΣ</cp:lastModifiedBy>
  <dcterms:created xsi:type="dcterms:W3CDTF">2015-06-05T18:19:34Z</dcterms:created>
  <dcterms:modified xsi:type="dcterms:W3CDTF">2026-01-15T00:59:16Z</dcterms:modified>
</cp:coreProperties>
</file>