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Kostas\Documents\JupyterNotebooks\Rentizelas\CISAMS\pyDecision_Example_WorkedExample_Plastics_PromII\AHP_4_1\"/>
    </mc:Choice>
  </mc:AlternateContent>
  <xr:revisionPtr revIDLastSave="0" documentId="13_ncr:1_{849249EE-B14F-4900-B3A1-CC96A5F47C62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1" i="1" l="1"/>
  <c r="D70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50" i="1"/>
  <c r="N47" i="1"/>
  <c r="N46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7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50" i="1"/>
  <c r="I47" i="1"/>
  <c r="I46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50" i="1"/>
  <c r="D47" i="1"/>
  <c r="D46" i="1"/>
</calcChain>
</file>

<file path=xl/sharedStrings.xml><?xml version="1.0" encoding="utf-8"?>
<sst xmlns="http://schemas.openxmlformats.org/spreadsheetml/2006/main" count="116" uniqueCount="39">
  <si>
    <t>Circularity</t>
  </si>
  <si>
    <t>min</t>
  </si>
  <si>
    <t>max</t>
  </si>
  <si>
    <t>Environmental</t>
  </si>
  <si>
    <t>Social</t>
  </si>
  <si>
    <t>pillar1</t>
  </si>
  <si>
    <t>pillar2</t>
  </si>
  <si>
    <t>pillar3</t>
  </si>
  <si>
    <t>priority score</t>
  </si>
  <si>
    <t>alt1</t>
  </si>
  <si>
    <t>alt2</t>
  </si>
  <si>
    <t>alt3</t>
  </si>
  <si>
    <t>alt4</t>
  </si>
  <si>
    <t>alt5</t>
  </si>
  <si>
    <t>alt6</t>
  </si>
  <si>
    <t>alt7</t>
  </si>
  <si>
    <t>alt8</t>
  </si>
  <si>
    <t>alt9</t>
  </si>
  <si>
    <t>alt10</t>
  </si>
  <si>
    <t>alt11</t>
  </si>
  <si>
    <t>alt12</t>
  </si>
  <si>
    <t>alt13</t>
  </si>
  <si>
    <t>alt14</t>
  </si>
  <si>
    <t>alt15</t>
  </si>
  <si>
    <t>alt16</t>
  </si>
  <si>
    <t>alt17</t>
  </si>
  <si>
    <t>alt18</t>
  </si>
  <si>
    <t>weights</t>
  </si>
  <si>
    <t>id</t>
  </si>
  <si>
    <t>dom by alt2</t>
  </si>
  <si>
    <t>dom by alt11</t>
  </si>
  <si>
    <t xml:space="preserve">dom by alt1 </t>
  </si>
  <si>
    <t>dom by alt6</t>
  </si>
  <si>
    <t>dom by alt15</t>
  </si>
  <si>
    <t>dom by alt5</t>
  </si>
  <si>
    <t>dom by alt1</t>
  </si>
  <si>
    <t>dom by alt10</t>
  </si>
  <si>
    <t>dom by alt14</t>
  </si>
  <si>
    <t>nondominated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</si>
</sst>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onsolas"/>
      <family val="3"/>
    </font>
    <font>
      <b/>
      <sz val="11"/>
      <color theme="9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2" borderId="0" xfId="0" applyFill="1"/>
    <xf numFmtId="0" fontId="2" fillId="0" borderId="0" xfId="0" applyFont="1" applyAlignment="1">
      <alignment horizontal="left" vertical="center"/>
    </xf>
    <xf numFmtId="0" fontId="0" fillId="3" borderId="0" xfId="0" applyFill="1"/>
    <xf numFmtId="0" fontId="3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Φύλλο1!$D$132</c:f>
              <c:strCache>
                <c:ptCount val="1"/>
                <c:pt idx="0">
                  <c:v>priority 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Φύλλο1!$C$133:$C$150</c:f>
              <c:strCache>
                <c:ptCount val="18"/>
                <c:pt idx="0">
                  <c:v>alt11</c:v>
                </c:pt>
                <c:pt idx="1">
                  <c:v>alt2</c:v>
                </c:pt>
                <c:pt idx="2">
                  <c:v>alt10</c:v>
                </c:pt>
                <c:pt idx="3">
                  <c:v>alt1</c:v>
                </c:pt>
                <c:pt idx="4">
                  <c:v>alt13</c:v>
                </c:pt>
                <c:pt idx="5">
                  <c:v>alt4</c:v>
                </c:pt>
                <c:pt idx="6">
                  <c:v>alt12</c:v>
                </c:pt>
                <c:pt idx="7">
                  <c:v>alt3</c:v>
                </c:pt>
                <c:pt idx="8">
                  <c:v>alt15</c:v>
                </c:pt>
                <c:pt idx="9">
                  <c:v>alt6</c:v>
                </c:pt>
                <c:pt idx="10">
                  <c:v>alt14</c:v>
                </c:pt>
                <c:pt idx="11">
                  <c:v>alt17</c:v>
                </c:pt>
                <c:pt idx="12">
                  <c:v>alt5</c:v>
                </c:pt>
                <c:pt idx="13">
                  <c:v>alt8</c:v>
                </c:pt>
                <c:pt idx="14">
                  <c:v>alt16</c:v>
                </c:pt>
                <c:pt idx="15">
                  <c:v>alt7</c:v>
                </c:pt>
                <c:pt idx="16">
                  <c:v>alt18</c:v>
                </c:pt>
                <c:pt idx="17">
                  <c:v>alt9</c:v>
                </c:pt>
              </c:strCache>
            </c:strRef>
          </c:cat>
          <c:val>
            <c:numRef>
              <c:f>Φύλλο1!$D$133:$D$150</c:f>
              <c:numCache>
                <c:formatCode>0.00</c:formatCode>
                <c:ptCount val="18"/>
                <c:pt idx="0">
                  <c:v>92.831028590000003</c:v>
                </c:pt>
                <c:pt idx="1">
                  <c:v>87.803894940000006</c:v>
                </c:pt>
                <c:pt idx="2">
                  <c:v>85.921437690000005</c:v>
                </c:pt>
                <c:pt idx="3">
                  <c:v>78.426438430000005</c:v>
                </c:pt>
                <c:pt idx="4">
                  <c:v>76.938969520000001</c:v>
                </c:pt>
                <c:pt idx="5">
                  <c:v>71.911835870000004</c:v>
                </c:pt>
                <c:pt idx="6">
                  <c:v>69.338419529999996</c:v>
                </c:pt>
                <c:pt idx="7">
                  <c:v>61.843420269999996</c:v>
                </c:pt>
                <c:pt idx="8">
                  <c:v>55.77861824</c:v>
                </c:pt>
                <c:pt idx="9">
                  <c:v>49.837460289999996</c:v>
                </c:pt>
                <c:pt idx="10">
                  <c:v>46.796150070000003</c:v>
                </c:pt>
                <c:pt idx="11">
                  <c:v>39.886559169999998</c:v>
                </c:pt>
                <c:pt idx="12">
                  <c:v>38.204321649999997</c:v>
                </c:pt>
                <c:pt idx="13">
                  <c:v>33.945401220000001</c:v>
                </c:pt>
                <c:pt idx="14">
                  <c:v>30.904091000000001</c:v>
                </c:pt>
                <c:pt idx="15">
                  <c:v>22.312262579999999</c:v>
                </c:pt>
                <c:pt idx="16">
                  <c:v>8.5004259900000001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48-453E-BAF6-C73BA9B5B5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0623359"/>
        <c:axId val="1210623839"/>
      </c:barChart>
      <c:catAx>
        <c:axId val="1210623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623839"/>
        <c:crosses val="autoZero"/>
        <c:auto val="1"/>
        <c:lblAlgn val="ctr"/>
        <c:lblOffset val="100"/>
        <c:noMultiLvlLbl val="0"/>
      </c:catAx>
      <c:valAx>
        <c:axId val="1210623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623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Radar chart Plastics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Φύλλο1!$P$110</c:f>
              <c:strCache>
                <c:ptCount val="1"/>
                <c:pt idx="0">
                  <c:v>alt11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Φύλλο1!$Q$109:$S$109</c:f>
              <c:strCache>
                <c:ptCount val="3"/>
                <c:pt idx="0">
                  <c:v>pillar1</c:v>
                </c:pt>
                <c:pt idx="1">
                  <c:v>pillar2</c:v>
                </c:pt>
                <c:pt idx="2">
                  <c:v>pillar3</c:v>
                </c:pt>
              </c:strCache>
            </c:strRef>
          </c:cat>
          <c:val>
            <c:numRef>
              <c:f>Φύλλο1!$Q$110:$S$110</c:f>
              <c:numCache>
                <c:formatCode>General</c:formatCode>
                <c:ptCount val="3"/>
                <c:pt idx="0">
                  <c:v>70</c:v>
                </c:pt>
                <c:pt idx="1">
                  <c:v>93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B1-4C7C-9213-110D9BF5620D}"/>
            </c:ext>
          </c:extLst>
        </c:ser>
        <c:ser>
          <c:idx val="1"/>
          <c:order val="1"/>
          <c:tx>
            <c:strRef>
              <c:f>Φύλλο1!$P$111</c:f>
              <c:strCache>
                <c:ptCount val="1"/>
                <c:pt idx="0">
                  <c:v>alt15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Φύλλο1!$Q$109:$S$109</c:f>
              <c:strCache>
                <c:ptCount val="3"/>
                <c:pt idx="0">
                  <c:v>pillar1</c:v>
                </c:pt>
                <c:pt idx="1">
                  <c:v>pillar2</c:v>
                </c:pt>
                <c:pt idx="2">
                  <c:v>pillar3</c:v>
                </c:pt>
              </c:strCache>
            </c:strRef>
          </c:cat>
          <c:val>
            <c:numRef>
              <c:f>Φύλλο1!$Q$111:$S$111</c:f>
              <c:numCache>
                <c:formatCode>General</c:formatCode>
                <c:ptCount val="3"/>
                <c:pt idx="0">
                  <c:v>100</c:v>
                </c:pt>
                <c:pt idx="1">
                  <c:v>100</c:v>
                </c:pt>
                <c:pt idx="2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B1-4C7C-9213-110D9BF562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9611135"/>
        <c:axId val="1509607295"/>
      </c:radarChart>
      <c:catAx>
        <c:axId val="1509611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9607295"/>
        <c:crosses val="autoZero"/>
        <c:auto val="1"/>
        <c:lblAlgn val="ctr"/>
        <c:lblOffset val="100"/>
        <c:noMultiLvlLbl val="0"/>
      </c:catAx>
      <c:valAx>
        <c:axId val="1509607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9611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AUGMECON2 results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Φύλλο1!$P$110</c:f>
              <c:strCache>
                <c:ptCount val="1"/>
                <c:pt idx="0">
                  <c:v>alt11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Φύλλο1!$Q$109:$S$109</c:f>
              <c:strCache>
                <c:ptCount val="3"/>
                <c:pt idx="0">
                  <c:v>pillar1</c:v>
                </c:pt>
                <c:pt idx="1">
                  <c:v>pillar2</c:v>
                </c:pt>
                <c:pt idx="2">
                  <c:v>pillar3</c:v>
                </c:pt>
              </c:strCache>
            </c:strRef>
          </c:cat>
          <c:val>
            <c:numRef>
              <c:f>Φύλλο1!$Q$110:$S$110</c:f>
              <c:numCache>
                <c:formatCode>General</c:formatCode>
                <c:ptCount val="3"/>
                <c:pt idx="0">
                  <c:v>70</c:v>
                </c:pt>
                <c:pt idx="1">
                  <c:v>93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27-496E-92B6-0CFFBF6CFD36}"/>
            </c:ext>
          </c:extLst>
        </c:ser>
        <c:ser>
          <c:idx val="1"/>
          <c:order val="1"/>
          <c:tx>
            <c:strRef>
              <c:f>Φύλλο1!$P$111</c:f>
              <c:strCache>
                <c:ptCount val="1"/>
                <c:pt idx="0">
                  <c:v>alt15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Φύλλο1!$Q$109:$S$109</c:f>
              <c:strCache>
                <c:ptCount val="3"/>
                <c:pt idx="0">
                  <c:v>pillar1</c:v>
                </c:pt>
                <c:pt idx="1">
                  <c:v>pillar2</c:v>
                </c:pt>
                <c:pt idx="2">
                  <c:v>pillar3</c:v>
                </c:pt>
              </c:strCache>
            </c:strRef>
          </c:cat>
          <c:val>
            <c:numRef>
              <c:f>Φύλλο1!$Q$111:$S$111</c:f>
              <c:numCache>
                <c:formatCode>General</c:formatCode>
                <c:ptCount val="3"/>
                <c:pt idx="0">
                  <c:v>100</c:v>
                </c:pt>
                <c:pt idx="1">
                  <c:v>100</c:v>
                </c:pt>
                <c:pt idx="2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27-496E-92B6-0CFFBF6CFD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1910239"/>
        <c:axId val="1321920319"/>
      </c:barChart>
      <c:catAx>
        <c:axId val="1321910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1920319"/>
        <c:crosses val="autoZero"/>
        <c:auto val="1"/>
        <c:lblAlgn val="ctr"/>
        <c:lblOffset val="100"/>
        <c:noMultiLvlLbl val="0"/>
      </c:catAx>
      <c:valAx>
        <c:axId val="1321920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1910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132</xdr:row>
      <xdr:rowOff>33337</xdr:rowOff>
    </xdr:from>
    <xdr:to>
      <xdr:col>12</xdr:col>
      <xdr:colOff>342900</xdr:colOff>
      <xdr:row>146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6B42E8-AE6C-7213-703A-EA986FBC82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0</xdr:colOff>
      <xdr:row>108</xdr:row>
      <xdr:rowOff>0</xdr:rowOff>
    </xdr:from>
    <xdr:to>
      <xdr:col>27</xdr:col>
      <xdr:colOff>304800</xdr:colOff>
      <xdr:row>122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8FD436B-5D09-47C4-8B2B-D6DABC94C2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438150</xdr:colOff>
      <xdr:row>111</xdr:row>
      <xdr:rowOff>90487</xdr:rowOff>
    </xdr:from>
    <xdr:to>
      <xdr:col>19</xdr:col>
      <xdr:colOff>133350</xdr:colOff>
      <xdr:row>125</xdr:row>
      <xdr:rowOff>166687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258B702-6F04-2EA2-B4D9-4242460F43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S150"/>
  <sheetViews>
    <sheetView tabSelected="1" topLeftCell="A98" zoomScaleNormal="100" workbookViewId="0">
      <selection activeCell="P109" sqref="P109:S111"/>
    </sheetView>
  </sheetViews>
  <sheetFormatPr defaultRowHeight="15" x14ac:dyDescent="0.25"/>
  <cols>
    <col min="3" max="3" width="10.85546875" bestFit="1" customWidth="1"/>
    <col min="7" max="7" width="12.7109375" bestFit="1" customWidth="1"/>
    <col min="8" max="8" width="14.140625" bestFit="1" customWidth="1"/>
  </cols>
  <sheetData>
    <row r="3" spans="3:14" x14ac:dyDescent="0.25">
      <c r="C3" t="s">
        <v>0</v>
      </c>
      <c r="H3" t="s">
        <v>3</v>
      </c>
      <c r="M3" t="s">
        <v>4</v>
      </c>
    </row>
    <row r="5" spans="3:14" x14ac:dyDescent="0.25">
      <c r="C5" s="1">
        <v>16</v>
      </c>
      <c r="D5" s="2">
        <v>0.15348235294117599</v>
      </c>
      <c r="H5" s="1">
        <v>16</v>
      </c>
      <c r="I5" s="2">
        <v>0.58173529411764702</v>
      </c>
      <c r="M5" s="1">
        <v>2</v>
      </c>
      <c r="N5" s="2">
        <v>0.65018823529411696</v>
      </c>
    </row>
    <row r="6" spans="3:14" x14ac:dyDescent="0.25">
      <c r="C6" s="1">
        <v>15</v>
      </c>
      <c r="D6" s="2">
        <v>0.15348235294117599</v>
      </c>
      <c r="H6" s="1">
        <v>15</v>
      </c>
      <c r="I6" s="2">
        <v>0.58173529411764702</v>
      </c>
      <c r="M6" s="1">
        <v>11</v>
      </c>
      <c r="N6" s="2">
        <v>0.65018823529411696</v>
      </c>
    </row>
    <row r="7" spans="3:14" x14ac:dyDescent="0.25">
      <c r="C7" s="1">
        <v>14</v>
      </c>
      <c r="D7" s="2">
        <v>0.15348235294117599</v>
      </c>
      <c r="H7" s="1">
        <v>14</v>
      </c>
      <c r="I7" s="2">
        <v>0.58173529411764702</v>
      </c>
      <c r="M7" s="1">
        <v>1</v>
      </c>
      <c r="N7" s="2">
        <v>0.52628235294117598</v>
      </c>
    </row>
    <row r="8" spans="3:14" x14ac:dyDescent="0.25">
      <c r="C8" s="1">
        <v>17</v>
      </c>
      <c r="D8" s="2">
        <v>0.15348235294117599</v>
      </c>
      <c r="H8" s="1">
        <v>17</v>
      </c>
      <c r="I8" s="2">
        <v>0.58173529411764702</v>
      </c>
      <c r="M8" s="1">
        <v>10</v>
      </c>
      <c r="N8" s="2">
        <v>0.52628235294117598</v>
      </c>
    </row>
    <row r="9" spans="3:14" x14ac:dyDescent="0.25">
      <c r="C9" s="1">
        <v>8</v>
      </c>
      <c r="D9" s="2">
        <v>0.15348235294117599</v>
      </c>
      <c r="H9" s="1">
        <v>13</v>
      </c>
      <c r="I9" s="2">
        <v>0.48964588235294099</v>
      </c>
      <c r="M9" s="1">
        <v>4</v>
      </c>
      <c r="N9" s="2">
        <v>0.37436470588235199</v>
      </c>
    </row>
    <row r="10" spans="3:14" x14ac:dyDescent="0.25">
      <c r="C10" s="1">
        <v>7</v>
      </c>
      <c r="D10" s="2">
        <v>0.15348235294117599</v>
      </c>
      <c r="H10" s="1">
        <v>11</v>
      </c>
      <c r="I10" s="2">
        <v>0.48964588235294099</v>
      </c>
      <c r="M10" s="1">
        <v>13</v>
      </c>
      <c r="N10" s="2">
        <v>0.37436470588235199</v>
      </c>
    </row>
    <row r="11" spans="3:14" x14ac:dyDescent="0.25">
      <c r="C11" s="1">
        <v>6</v>
      </c>
      <c r="D11" s="2">
        <v>0.15348235294117599</v>
      </c>
      <c r="H11" s="1">
        <v>12</v>
      </c>
      <c r="I11" s="2">
        <v>0.48755294117647002</v>
      </c>
      <c r="M11" s="1">
        <v>12</v>
      </c>
      <c r="N11" s="2">
        <v>0.25045882352941101</v>
      </c>
    </row>
    <row r="12" spans="3:14" x14ac:dyDescent="0.25">
      <c r="C12" s="1">
        <v>5</v>
      </c>
      <c r="D12" s="2">
        <v>0.15348235294117599</v>
      </c>
      <c r="H12" s="1">
        <v>10</v>
      </c>
      <c r="I12" s="2">
        <v>0.48755294117647002</v>
      </c>
      <c r="M12" s="1">
        <v>3</v>
      </c>
      <c r="N12" s="2">
        <v>0.25045882352941101</v>
      </c>
    </row>
    <row r="13" spans="3:14" x14ac:dyDescent="0.25">
      <c r="C13" s="1">
        <v>1</v>
      </c>
      <c r="D13" s="2">
        <v>-3.5835294117647E-2</v>
      </c>
      <c r="H13" s="1">
        <v>18</v>
      </c>
      <c r="I13" s="2">
        <v>0.48336705882352898</v>
      </c>
      <c r="M13" s="1">
        <v>15</v>
      </c>
      <c r="N13" s="2">
        <v>-0.101835294117647</v>
      </c>
    </row>
    <row r="14" spans="3:14" x14ac:dyDescent="0.25">
      <c r="C14" s="1">
        <v>2</v>
      </c>
      <c r="D14" s="2">
        <v>-3.5835294117647E-2</v>
      </c>
      <c r="H14" s="1">
        <v>4</v>
      </c>
      <c r="I14" s="2">
        <v>-0.27555058823529399</v>
      </c>
      <c r="M14" s="1">
        <v>6</v>
      </c>
      <c r="N14" s="2">
        <v>-0.101835294117647</v>
      </c>
    </row>
    <row r="15" spans="3:14" x14ac:dyDescent="0.25">
      <c r="C15" s="1">
        <v>13</v>
      </c>
      <c r="D15" s="2">
        <v>-3.5835294117647E-2</v>
      </c>
      <c r="H15" s="1">
        <v>2</v>
      </c>
      <c r="I15" s="2">
        <v>-0.27555058823529399</v>
      </c>
      <c r="M15" s="1">
        <v>14</v>
      </c>
      <c r="N15" s="2">
        <v>-0.256717647058823</v>
      </c>
    </row>
    <row r="16" spans="3:14" x14ac:dyDescent="0.25">
      <c r="C16" s="1">
        <v>12</v>
      </c>
      <c r="D16" s="2">
        <v>-3.5835294117647E-2</v>
      </c>
      <c r="H16" s="1">
        <v>8</v>
      </c>
      <c r="I16" s="2">
        <v>-0.327039999999999</v>
      </c>
      <c r="M16" s="1">
        <v>5</v>
      </c>
      <c r="N16" s="2">
        <v>-0.256717647058823</v>
      </c>
    </row>
    <row r="17" spans="3:14" x14ac:dyDescent="0.25">
      <c r="C17" s="1">
        <v>11</v>
      </c>
      <c r="D17" s="2">
        <v>-3.5835294117647E-2</v>
      </c>
      <c r="H17" s="1">
        <v>6</v>
      </c>
      <c r="I17" s="2">
        <v>-0.327039999999999</v>
      </c>
      <c r="M17" s="1">
        <v>17</v>
      </c>
      <c r="N17" s="2">
        <v>-0.37765882352941099</v>
      </c>
    </row>
    <row r="18" spans="3:14" x14ac:dyDescent="0.25">
      <c r="C18" s="1">
        <v>10</v>
      </c>
      <c r="D18" s="2">
        <v>-3.5835294117647E-2</v>
      </c>
      <c r="H18" s="1">
        <v>3</v>
      </c>
      <c r="I18" s="2">
        <v>-0.64918235294117599</v>
      </c>
      <c r="M18" s="1">
        <v>8</v>
      </c>
      <c r="N18" s="2">
        <v>-0.37765882352941099</v>
      </c>
    </row>
    <row r="19" spans="3:14" x14ac:dyDescent="0.25">
      <c r="C19" s="1">
        <v>4</v>
      </c>
      <c r="D19" s="2">
        <v>-3.5835294117647E-2</v>
      </c>
      <c r="H19" s="1">
        <v>1</v>
      </c>
      <c r="I19" s="2">
        <v>-0.64918235294117599</v>
      </c>
      <c r="M19" s="1">
        <v>18</v>
      </c>
      <c r="N19" s="2">
        <v>-0.53254117647058796</v>
      </c>
    </row>
    <row r="20" spans="3:14" x14ac:dyDescent="0.25">
      <c r="C20" s="1">
        <v>3</v>
      </c>
      <c r="D20" s="2">
        <v>-3.5835294117647E-2</v>
      </c>
      <c r="H20" s="1">
        <v>5</v>
      </c>
      <c r="I20" s="2">
        <v>-0.72651176470588197</v>
      </c>
      <c r="M20" s="1">
        <v>7</v>
      </c>
      <c r="N20" s="2">
        <v>-0.53254117647058796</v>
      </c>
    </row>
    <row r="21" spans="3:14" x14ac:dyDescent="0.25">
      <c r="C21" s="1">
        <v>18</v>
      </c>
      <c r="D21" s="2">
        <v>-0.47058823529411697</v>
      </c>
      <c r="H21" s="1">
        <v>7</v>
      </c>
      <c r="I21" s="2">
        <v>-0.72651176470588197</v>
      </c>
      <c r="M21" s="1">
        <v>16</v>
      </c>
      <c r="N21" s="2">
        <v>-0.53254117647058796</v>
      </c>
    </row>
    <row r="22" spans="3:14" x14ac:dyDescent="0.25">
      <c r="C22" s="1">
        <v>9</v>
      </c>
      <c r="D22" s="2">
        <v>-0.47058823529411697</v>
      </c>
      <c r="H22" s="1">
        <v>9</v>
      </c>
      <c r="I22" s="2">
        <v>-0.80813647058823501</v>
      </c>
      <c r="M22" s="1">
        <v>9</v>
      </c>
      <c r="N22" s="2">
        <v>-0.53254117647058796</v>
      </c>
    </row>
    <row r="26" spans="3:14" x14ac:dyDescent="0.25">
      <c r="C26" s="1">
        <v>1</v>
      </c>
      <c r="D26" s="2">
        <v>-3.5835294117647E-2</v>
      </c>
      <c r="H26" s="1">
        <v>1</v>
      </c>
      <c r="I26" s="2">
        <v>-0.64918235294117599</v>
      </c>
      <c r="M26" s="1">
        <v>1</v>
      </c>
      <c r="N26" s="2">
        <v>0.52628235294117598</v>
      </c>
    </row>
    <row r="27" spans="3:14" x14ac:dyDescent="0.25">
      <c r="C27" s="1">
        <v>2</v>
      </c>
      <c r="D27" s="2">
        <v>-3.5835294117647E-2</v>
      </c>
      <c r="H27" s="1">
        <v>2</v>
      </c>
      <c r="I27" s="2">
        <v>-0.27555058823529399</v>
      </c>
      <c r="M27" s="1">
        <v>2</v>
      </c>
      <c r="N27" s="2">
        <v>0.65018823529411696</v>
      </c>
    </row>
    <row r="28" spans="3:14" x14ac:dyDescent="0.25">
      <c r="C28" s="1">
        <v>3</v>
      </c>
      <c r="D28" s="2">
        <v>-3.5835294117647E-2</v>
      </c>
      <c r="H28" s="1">
        <v>3</v>
      </c>
      <c r="I28" s="2">
        <v>-0.64918235294117599</v>
      </c>
      <c r="M28" s="1">
        <v>3</v>
      </c>
      <c r="N28" s="2">
        <v>0.25045882352941101</v>
      </c>
    </row>
    <row r="29" spans="3:14" x14ac:dyDescent="0.25">
      <c r="C29" s="1">
        <v>4</v>
      </c>
      <c r="D29" s="2">
        <v>-3.5835294117647E-2</v>
      </c>
      <c r="H29" s="1">
        <v>4</v>
      </c>
      <c r="I29" s="2">
        <v>-0.27555058823529399</v>
      </c>
      <c r="M29" s="1">
        <v>4</v>
      </c>
      <c r="N29" s="2">
        <v>0.37436470588235199</v>
      </c>
    </row>
    <row r="30" spans="3:14" x14ac:dyDescent="0.25">
      <c r="C30" s="1">
        <v>5</v>
      </c>
      <c r="D30" s="2">
        <v>0.15348235294117599</v>
      </c>
      <c r="H30" s="1">
        <v>5</v>
      </c>
      <c r="I30" s="2">
        <v>-0.72651176470588197</v>
      </c>
      <c r="M30" s="1">
        <v>5</v>
      </c>
      <c r="N30" s="2">
        <v>-0.256717647058823</v>
      </c>
    </row>
    <row r="31" spans="3:14" x14ac:dyDescent="0.25">
      <c r="C31" s="1">
        <v>6</v>
      </c>
      <c r="D31" s="2">
        <v>0.15348235294117599</v>
      </c>
      <c r="H31" s="1">
        <v>6</v>
      </c>
      <c r="I31" s="2">
        <v>-0.327039999999999</v>
      </c>
      <c r="M31" s="1">
        <v>6</v>
      </c>
      <c r="N31" s="2">
        <v>-0.101835294117647</v>
      </c>
    </row>
    <row r="32" spans="3:14" x14ac:dyDescent="0.25">
      <c r="C32" s="1">
        <v>7</v>
      </c>
      <c r="D32" s="2">
        <v>0.15348235294117599</v>
      </c>
      <c r="H32" s="1">
        <v>7</v>
      </c>
      <c r="I32" s="2">
        <v>-0.72651176470588197</v>
      </c>
      <c r="M32" s="1">
        <v>7</v>
      </c>
      <c r="N32" s="2">
        <v>-0.53254117647058796</v>
      </c>
    </row>
    <row r="33" spans="2:14" x14ac:dyDescent="0.25">
      <c r="C33" s="1">
        <v>8</v>
      </c>
      <c r="D33" s="2">
        <v>0.15348235294117599</v>
      </c>
      <c r="H33" s="1">
        <v>8</v>
      </c>
      <c r="I33" s="2">
        <v>-0.327039999999999</v>
      </c>
      <c r="M33" s="1">
        <v>8</v>
      </c>
      <c r="N33" s="2">
        <v>-0.37765882352941099</v>
      </c>
    </row>
    <row r="34" spans="2:14" x14ac:dyDescent="0.25">
      <c r="C34" s="1">
        <v>9</v>
      </c>
      <c r="D34" s="2">
        <v>-0.47058823529411697</v>
      </c>
      <c r="H34" s="1">
        <v>9</v>
      </c>
      <c r="I34" s="2">
        <v>-0.80813647058823501</v>
      </c>
      <c r="M34" s="1">
        <v>9</v>
      </c>
      <c r="N34" s="2">
        <v>-0.53254117647058796</v>
      </c>
    </row>
    <row r="35" spans="2:14" x14ac:dyDescent="0.25">
      <c r="C35" s="1">
        <v>10</v>
      </c>
      <c r="D35" s="2">
        <v>-3.5835294117647E-2</v>
      </c>
      <c r="H35" s="1">
        <v>10</v>
      </c>
      <c r="I35" s="2">
        <v>0.48755294117647002</v>
      </c>
      <c r="M35" s="1">
        <v>10</v>
      </c>
      <c r="N35" s="2">
        <v>0.52628235294117598</v>
      </c>
    </row>
    <row r="36" spans="2:14" x14ac:dyDescent="0.25">
      <c r="C36" s="1">
        <v>11</v>
      </c>
      <c r="D36" s="2">
        <v>-3.5835294117647E-2</v>
      </c>
      <c r="H36" s="1">
        <v>11</v>
      </c>
      <c r="I36" s="2">
        <v>0.48964588235294099</v>
      </c>
      <c r="M36" s="1">
        <v>11</v>
      </c>
      <c r="N36" s="2">
        <v>0.65018823529411696</v>
      </c>
    </row>
    <row r="37" spans="2:14" x14ac:dyDescent="0.25">
      <c r="C37" s="1">
        <v>12</v>
      </c>
      <c r="D37" s="2">
        <v>-3.5835294117647E-2</v>
      </c>
      <c r="H37" s="1">
        <v>12</v>
      </c>
      <c r="I37" s="2">
        <v>0.48755294117647002</v>
      </c>
      <c r="M37" s="1">
        <v>12</v>
      </c>
      <c r="N37" s="2">
        <v>0.25045882352941101</v>
      </c>
    </row>
    <row r="38" spans="2:14" x14ac:dyDescent="0.25">
      <c r="C38" s="1">
        <v>13</v>
      </c>
      <c r="D38" s="2">
        <v>-3.5835294117647E-2</v>
      </c>
      <c r="H38" s="1">
        <v>13</v>
      </c>
      <c r="I38" s="2">
        <v>0.48964588235294099</v>
      </c>
      <c r="M38" s="1">
        <v>13</v>
      </c>
      <c r="N38" s="2">
        <v>0.37436470588235199</v>
      </c>
    </row>
    <row r="39" spans="2:14" x14ac:dyDescent="0.25">
      <c r="C39" s="1">
        <v>14</v>
      </c>
      <c r="D39" s="2">
        <v>0.15348235294117599</v>
      </c>
      <c r="H39" s="1">
        <v>14</v>
      </c>
      <c r="I39" s="2">
        <v>0.58173529411764702</v>
      </c>
      <c r="M39" s="1">
        <v>14</v>
      </c>
      <c r="N39" s="2">
        <v>-0.256717647058823</v>
      </c>
    </row>
    <row r="40" spans="2:14" x14ac:dyDescent="0.25">
      <c r="C40" s="1">
        <v>15</v>
      </c>
      <c r="D40" s="2">
        <v>0.15348235294117599</v>
      </c>
      <c r="H40" s="1">
        <v>15</v>
      </c>
      <c r="I40" s="2">
        <v>0.58173529411764702</v>
      </c>
      <c r="M40" s="1">
        <v>15</v>
      </c>
      <c r="N40" s="2">
        <v>-0.101835294117647</v>
      </c>
    </row>
    <row r="41" spans="2:14" x14ac:dyDescent="0.25">
      <c r="C41" s="1">
        <v>16</v>
      </c>
      <c r="D41" s="2">
        <v>0.15348235294117599</v>
      </c>
      <c r="H41" s="1">
        <v>16</v>
      </c>
      <c r="I41" s="2">
        <v>0.58173529411764702</v>
      </c>
      <c r="M41" s="1">
        <v>16</v>
      </c>
      <c r="N41" s="2">
        <v>-0.53254117647058796</v>
      </c>
    </row>
    <row r="42" spans="2:14" x14ac:dyDescent="0.25">
      <c r="C42" s="1">
        <v>17</v>
      </c>
      <c r="D42" s="2">
        <v>0.15348235294117599</v>
      </c>
      <c r="H42" s="1">
        <v>17</v>
      </c>
      <c r="I42" s="2">
        <v>0.58173529411764702</v>
      </c>
      <c r="M42" s="1">
        <v>17</v>
      </c>
      <c r="N42" s="2">
        <v>-0.37765882352941099</v>
      </c>
    </row>
    <row r="43" spans="2:14" x14ac:dyDescent="0.25">
      <c r="C43" s="1">
        <v>18</v>
      </c>
      <c r="D43" s="2">
        <v>-0.47058823529411697</v>
      </c>
      <c r="H43" s="1">
        <v>18</v>
      </c>
      <c r="I43" s="2">
        <v>0.48336705882352898</v>
      </c>
      <c r="M43" s="1">
        <v>18</v>
      </c>
      <c r="N43" s="2">
        <v>-0.53254117647058796</v>
      </c>
    </row>
    <row r="46" spans="2:14" x14ac:dyDescent="0.25">
      <c r="B46" t="s">
        <v>1</v>
      </c>
      <c r="D46" s="2">
        <f>MIN(D26:D43)</f>
        <v>-0.47058823529411697</v>
      </c>
      <c r="I46" s="2">
        <f>MIN(I26:I43)</f>
        <v>-0.80813647058823501</v>
      </c>
      <c r="N46" s="2">
        <f>MIN(N26:N43)</f>
        <v>-0.53254117647058796</v>
      </c>
    </row>
    <row r="47" spans="2:14" x14ac:dyDescent="0.25">
      <c r="B47" t="s">
        <v>2</v>
      </c>
      <c r="D47" s="2">
        <f>MAX(D26:D43)</f>
        <v>0.15348235294117599</v>
      </c>
      <c r="I47" s="2">
        <f>MAX(I26:I43)</f>
        <v>0.58173529411764702</v>
      </c>
      <c r="N47" s="2">
        <f>MAX(N26:N43)</f>
        <v>0.65018823529411696</v>
      </c>
    </row>
    <row r="50" spans="3:14" x14ac:dyDescent="0.25">
      <c r="C50" s="1">
        <v>1</v>
      </c>
      <c r="D50">
        <f>(D26-$D$46)/($D$47-$D$46)</f>
        <v>0.69664065151001053</v>
      </c>
      <c r="H50" s="1">
        <v>1</v>
      </c>
      <c r="I50">
        <f>(I26-$I$46)/($I$47-$I$46)</f>
        <v>0.11436603122928836</v>
      </c>
      <c r="M50" s="1">
        <v>1</v>
      </c>
      <c r="N50">
        <f>(N26-$N$46)/($N$47-$N$46)</f>
        <v>0.89523733736521727</v>
      </c>
    </row>
    <row r="51" spans="3:14" x14ac:dyDescent="0.25">
      <c r="C51" s="1">
        <v>2</v>
      </c>
      <c r="D51">
        <f t="shared" ref="D51:D67" si="0">(D27-$D$46)/($D$47-$D$46)</f>
        <v>0.69664065151001053</v>
      </c>
      <c r="H51" s="1">
        <v>2</v>
      </c>
      <c r="I51">
        <f t="shared" ref="I51:I67" si="1">(I27-$I$46)/($I$47-$I$46)</f>
        <v>0.38319066253255696</v>
      </c>
      <c r="M51" s="1">
        <v>2</v>
      </c>
      <c r="N51">
        <f t="shared" ref="N51:N67" si="2">(N27-$N$46)/($N$47-$N$46)</f>
        <v>1</v>
      </c>
    </row>
    <row r="52" spans="3:14" x14ac:dyDescent="0.25">
      <c r="C52" s="1">
        <v>3</v>
      </c>
      <c r="D52">
        <f t="shared" si="0"/>
        <v>0.69664065151001053</v>
      </c>
      <c r="H52" s="1">
        <v>3</v>
      </c>
      <c r="I52">
        <f t="shared" si="1"/>
        <v>0.11436603122928836</v>
      </c>
      <c r="M52" s="1">
        <v>3</v>
      </c>
      <c r="N52">
        <f t="shared" si="2"/>
        <v>0.66202801098157771</v>
      </c>
    </row>
    <row r="53" spans="3:14" x14ac:dyDescent="0.25">
      <c r="C53" s="1">
        <v>4</v>
      </c>
      <c r="D53">
        <f t="shared" si="0"/>
        <v>0.69664065151001053</v>
      </c>
      <c r="H53" s="1">
        <v>4</v>
      </c>
      <c r="I53">
        <f t="shared" si="1"/>
        <v>0.38319066253255696</v>
      </c>
      <c r="M53" s="1">
        <v>4</v>
      </c>
      <c r="N53">
        <f t="shared" si="2"/>
        <v>0.76679067361636055</v>
      </c>
    </row>
    <row r="54" spans="3:14" x14ac:dyDescent="0.25">
      <c r="C54" s="1">
        <v>5</v>
      </c>
      <c r="D54">
        <f t="shared" si="0"/>
        <v>1</v>
      </c>
      <c r="H54" s="1">
        <v>5</v>
      </c>
      <c r="I54">
        <f t="shared" si="1"/>
        <v>5.8728227995642514E-2</v>
      </c>
      <c r="M54" s="1">
        <v>5</v>
      </c>
      <c r="N54">
        <f t="shared" si="2"/>
        <v>0.23320932638363945</v>
      </c>
    </row>
    <row r="55" spans="3:14" x14ac:dyDescent="0.25">
      <c r="C55" s="1">
        <v>6</v>
      </c>
      <c r="D55">
        <f t="shared" si="0"/>
        <v>1</v>
      </c>
      <c r="H55" s="1">
        <v>6</v>
      </c>
      <c r="I55">
        <f t="shared" si="1"/>
        <v>0.34614450253980328</v>
      </c>
      <c r="M55" s="1">
        <v>6</v>
      </c>
      <c r="N55">
        <f t="shared" si="2"/>
        <v>0.36416265467711784</v>
      </c>
    </row>
    <row r="56" spans="3:14" x14ac:dyDescent="0.25">
      <c r="C56" s="1">
        <v>7</v>
      </c>
      <c r="D56">
        <f t="shared" si="0"/>
        <v>1</v>
      </c>
      <c r="H56" s="1">
        <v>7</v>
      </c>
      <c r="I56">
        <f t="shared" si="1"/>
        <v>5.8728227995642514E-2</v>
      </c>
      <c r="M56" s="1">
        <v>7</v>
      </c>
      <c r="N56">
        <f t="shared" si="2"/>
        <v>0</v>
      </c>
    </row>
    <row r="57" spans="3:14" x14ac:dyDescent="0.25">
      <c r="C57" s="1">
        <v>8</v>
      </c>
      <c r="D57">
        <f t="shared" si="0"/>
        <v>1</v>
      </c>
      <c r="H57" s="1">
        <v>8</v>
      </c>
      <c r="I57">
        <f t="shared" si="1"/>
        <v>0.34614450253980328</v>
      </c>
      <c r="M57" s="1">
        <v>8</v>
      </c>
      <c r="N57">
        <f t="shared" si="2"/>
        <v>0.13095332829347922</v>
      </c>
    </row>
    <row r="58" spans="3:14" x14ac:dyDescent="0.25">
      <c r="C58" s="1">
        <v>9</v>
      </c>
      <c r="D58">
        <f t="shared" si="0"/>
        <v>0</v>
      </c>
      <c r="H58" s="1">
        <v>9</v>
      </c>
      <c r="I58">
        <f t="shared" si="1"/>
        <v>0</v>
      </c>
      <c r="M58" s="1">
        <v>9</v>
      </c>
      <c r="N58">
        <f t="shared" si="2"/>
        <v>0</v>
      </c>
    </row>
    <row r="59" spans="3:14" x14ac:dyDescent="0.25">
      <c r="C59" s="1">
        <v>10</v>
      </c>
      <c r="D59">
        <f t="shared" si="0"/>
        <v>0.69664065151001053</v>
      </c>
      <c r="H59" s="1">
        <v>10</v>
      </c>
      <c r="I59">
        <f t="shared" si="1"/>
        <v>0.93223666000502758</v>
      </c>
      <c r="M59" s="1">
        <v>10</v>
      </c>
      <c r="N59">
        <f t="shared" si="2"/>
        <v>0.89523733736521727</v>
      </c>
    </row>
    <row r="60" spans="3:14" x14ac:dyDescent="0.25">
      <c r="C60" s="1">
        <v>11</v>
      </c>
      <c r="D60">
        <f t="shared" si="0"/>
        <v>0.69664065151001053</v>
      </c>
      <c r="H60" s="1">
        <v>11</v>
      </c>
      <c r="I60">
        <f t="shared" si="1"/>
        <v>0.9337425120049162</v>
      </c>
      <c r="M60" s="1">
        <v>11</v>
      </c>
      <c r="N60">
        <f t="shared" si="2"/>
        <v>1</v>
      </c>
    </row>
    <row r="61" spans="3:14" x14ac:dyDescent="0.25">
      <c r="C61" s="1">
        <v>12</v>
      </c>
      <c r="D61">
        <f t="shared" si="0"/>
        <v>0.69664065151001053</v>
      </c>
      <c r="H61" s="1">
        <v>12</v>
      </c>
      <c r="I61">
        <f t="shared" si="1"/>
        <v>0.93223666000502758</v>
      </c>
      <c r="M61" s="1">
        <v>12</v>
      </c>
      <c r="N61">
        <f t="shared" si="2"/>
        <v>0.66202801098157771</v>
      </c>
    </row>
    <row r="62" spans="3:14" x14ac:dyDescent="0.25">
      <c r="C62" s="1">
        <v>13</v>
      </c>
      <c r="D62">
        <f t="shared" si="0"/>
        <v>0.69664065151001053</v>
      </c>
      <c r="H62" s="1">
        <v>13</v>
      </c>
      <c r="I62">
        <f t="shared" si="1"/>
        <v>0.9337425120049162</v>
      </c>
      <c r="M62" s="1">
        <v>13</v>
      </c>
      <c r="N62">
        <f t="shared" si="2"/>
        <v>0.76679067361636055</v>
      </c>
    </row>
    <row r="63" spans="3:14" x14ac:dyDescent="0.25">
      <c r="C63" s="1">
        <v>14</v>
      </c>
      <c r="D63">
        <f t="shared" si="0"/>
        <v>1</v>
      </c>
      <c r="H63" s="1">
        <v>14</v>
      </c>
      <c r="I63">
        <f t="shared" si="1"/>
        <v>1</v>
      </c>
      <c r="M63" s="1">
        <v>14</v>
      </c>
      <c r="N63">
        <f t="shared" si="2"/>
        <v>0.23320932638363945</v>
      </c>
    </row>
    <row r="64" spans="3:14" x14ac:dyDescent="0.25">
      <c r="C64" s="1">
        <v>15</v>
      </c>
      <c r="D64">
        <f t="shared" si="0"/>
        <v>1</v>
      </c>
      <c r="H64" s="1">
        <v>15</v>
      </c>
      <c r="I64">
        <f t="shared" si="1"/>
        <v>1</v>
      </c>
      <c r="M64" s="1">
        <v>15</v>
      </c>
      <c r="N64">
        <f t="shared" si="2"/>
        <v>0.36416265467711784</v>
      </c>
    </row>
    <row r="65" spans="3:14" x14ac:dyDescent="0.25">
      <c r="C65" s="1">
        <v>16</v>
      </c>
      <c r="D65">
        <f t="shared" si="0"/>
        <v>1</v>
      </c>
      <c r="H65" s="1">
        <v>16</v>
      </c>
      <c r="I65">
        <f t="shared" si="1"/>
        <v>1</v>
      </c>
      <c r="M65" s="1">
        <v>16</v>
      </c>
      <c r="N65">
        <f t="shared" si="2"/>
        <v>0</v>
      </c>
    </row>
    <row r="66" spans="3:14" x14ac:dyDescent="0.25">
      <c r="C66" s="1">
        <v>17</v>
      </c>
      <c r="D66">
        <f t="shared" si="0"/>
        <v>1</v>
      </c>
      <c r="H66" s="1">
        <v>17</v>
      </c>
      <c r="I66">
        <f t="shared" si="1"/>
        <v>1</v>
      </c>
      <c r="M66" s="1">
        <v>17</v>
      </c>
      <c r="N66">
        <f t="shared" si="2"/>
        <v>0.13095332829347922</v>
      </c>
    </row>
    <row r="67" spans="3:14" x14ac:dyDescent="0.25">
      <c r="C67" s="1">
        <v>18</v>
      </c>
      <c r="D67">
        <f t="shared" si="0"/>
        <v>0</v>
      </c>
      <c r="H67" s="1">
        <v>18</v>
      </c>
      <c r="I67">
        <f t="shared" si="1"/>
        <v>0.92922495600525123</v>
      </c>
      <c r="M67" s="1">
        <v>18</v>
      </c>
      <c r="N67">
        <f t="shared" si="2"/>
        <v>0</v>
      </c>
    </row>
    <row r="70" spans="3:14" x14ac:dyDescent="0.25">
      <c r="C70" s="1">
        <v>1</v>
      </c>
      <c r="D70" s="3">
        <f>100*ROUND(D50,2)</f>
        <v>70</v>
      </c>
      <c r="H70" s="1">
        <v>1</v>
      </c>
      <c r="I70" s="3">
        <f>100*ROUND(I50,2)</f>
        <v>11</v>
      </c>
      <c r="M70" s="1">
        <v>1</v>
      </c>
      <c r="N70" s="3">
        <f>100*ROUND(N50,2)</f>
        <v>90</v>
      </c>
    </row>
    <row r="71" spans="3:14" x14ac:dyDescent="0.25">
      <c r="C71" s="1">
        <v>2</v>
      </c>
      <c r="D71" s="3">
        <f t="shared" ref="D71:D87" si="3">100*ROUND(D51,2)</f>
        <v>70</v>
      </c>
      <c r="H71" s="1">
        <v>2</v>
      </c>
      <c r="I71" s="3">
        <f t="shared" ref="I71:I87" si="4">100*ROUND(I51,2)</f>
        <v>38</v>
      </c>
      <c r="M71" s="1">
        <v>2</v>
      </c>
      <c r="N71" s="3">
        <f t="shared" ref="N71:N87" si="5">100*ROUND(N51,2)</f>
        <v>100</v>
      </c>
    </row>
    <row r="72" spans="3:14" x14ac:dyDescent="0.25">
      <c r="C72" s="1">
        <v>3</v>
      </c>
      <c r="D72" s="3">
        <f t="shared" si="3"/>
        <v>70</v>
      </c>
      <c r="H72" s="1">
        <v>3</v>
      </c>
      <c r="I72" s="3">
        <f t="shared" si="4"/>
        <v>11</v>
      </c>
      <c r="M72" s="1">
        <v>3</v>
      </c>
      <c r="N72" s="3">
        <f t="shared" si="5"/>
        <v>66</v>
      </c>
    </row>
    <row r="73" spans="3:14" x14ac:dyDescent="0.25">
      <c r="C73" s="1">
        <v>4</v>
      </c>
      <c r="D73" s="3">
        <f t="shared" si="3"/>
        <v>70</v>
      </c>
      <c r="H73" s="1">
        <v>4</v>
      </c>
      <c r="I73" s="3">
        <f t="shared" si="4"/>
        <v>38</v>
      </c>
      <c r="M73" s="1">
        <v>4</v>
      </c>
      <c r="N73" s="3">
        <f t="shared" si="5"/>
        <v>77</v>
      </c>
    </row>
    <row r="74" spans="3:14" x14ac:dyDescent="0.25">
      <c r="C74" s="1">
        <v>5</v>
      </c>
      <c r="D74" s="3">
        <f t="shared" si="3"/>
        <v>100</v>
      </c>
      <c r="H74" s="1">
        <v>5</v>
      </c>
      <c r="I74" s="3">
        <f t="shared" si="4"/>
        <v>6</v>
      </c>
      <c r="M74" s="1">
        <v>5</v>
      </c>
      <c r="N74" s="3">
        <f t="shared" si="5"/>
        <v>23</v>
      </c>
    </row>
    <row r="75" spans="3:14" x14ac:dyDescent="0.25">
      <c r="C75" s="1">
        <v>6</v>
      </c>
      <c r="D75" s="3">
        <f t="shared" si="3"/>
        <v>100</v>
      </c>
      <c r="H75" s="1">
        <v>6</v>
      </c>
      <c r="I75" s="3">
        <f t="shared" si="4"/>
        <v>35</v>
      </c>
      <c r="M75" s="1">
        <v>6</v>
      </c>
      <c r="N75" s="3">
        <f t="shared" si="5"/>
        <v>36</v>
      </c>
    </row>
    <row r="76" spans="3:14" x14ac:dyDescent="0.25">
      <c r="C76" s="1">
        <v>7</v>
      </c>
      <c r="D76" s="3">
        <f t="shared" si="3"/>
        <v>100</v>
      </c>
      <c r="H76" s="1">
        <v>7</v>
      </c>
      <c r="I76" s="3">
        <f t="shared" si="4"/>
        <v>6</v>
      </c>
      <c r="M76" s="1">
        <v>7</v>
      </c>
      <c r="N76" s="3">
        <f t="shared" si="5"/>
        <v>0</v>
      </c>
    </row>
    <row r="77" spans="3:14" x14ac:dyDescent="0.25">
      <c r="C77" s="1">
        <v>8</v>
      </c>
      <c r="D77" s="3">
        <f t="shared" si="3"/>
        <v>100</v>
      </c>
      <c r="H77" s="1">
        <v>8</v>
      </c>
      <c r="I77" s="3">
        <f t="shared" si="4"/>
        <v>35</v>
      </c>
      <c r="M77" s="1">
        <v>8</v>
      </c>
      <c r="N77" s="3">
        <f t="shared" si="5"/>
        <v>13</v>
      </c>
    </row>
    <row r="78" spans="3:14" x14ac:dyDescent="0.25">
      <c r="C78" s="1">
        <v>9</v>
      </c>
      <c r="D78" s="3">
        <f t="shared" si="3"/>
        <v>0</v>
      </c>
      <c r="H78" s="1">
        <v>9</v>
      </c>
      <c r="I78" s="3">
        <f t="shared" si="4"/>
        <v>0</v>
      </c>
      <c r="M78" s="1">
        <v>9</v>
      </c>
      <c r="N78" s="3">
        <f t="shared" si="5"/>
        <v>0</v>
      </c>
    </row>
    <row r="79" spans="3:14" x14ac:dyDescent="0.25">
      <c r="C79" s="1">
        <v>10</v>
      </c>
      <c r="D79" s="3">
        <f t="shared" si="3"/>
        <v>70</v>
      </c>
      <c r="H79" s="1">
        <v>10</v>
      </c>
      <c r="I79" s="3">
        <f t="shared" si="4"/>
        <v>93</v>
      </c>
      <c r="M79" s="1">
        <v>10</v>
      </c>
      <c r="N79" s="3">
        <f t="shared" si="5"/>
        <v>90</v>
      </c>
    </row>
    <row r="80" spans="3:14" x14ac:dyDescent="0.25">
      <c r="C80" s="1">
        <v>11</v>
      </c>
      <c r="D80" s="3">
        <f t="shared" si="3"/>
        <v>70</v>
      </c>
      <c r="H80" s="1">
        <v>11</v>
      </c>
      <c r="I80" s="3">
        <f t="shared" si="4"/>
        <v>93</v>
      </c>
      <c r="M80" s="1">
        <v>11</v>
      </c>
      <c r="N80" s="3">
        <f t="shared" si="5"/>
        <v>100</v>
      </c>
    </row>
    <row r="81" spans="3:19" x14ac:dyDescent="0.25">
      <c r="C81" s="1">
        <v>12</v>
      </c>
      <c r="D81" s="3">
        <f t="shared" si="3"/>
        <v>70</v>
      </c>
      <c r="H81" s="1">
        <v>12</v>
      </c>
      <c r="I81" s="3">
        <f t="shared" si="4"/>
        <v>93</v>
      </c>
      <c r="M81" s="1">
        <v>12</v>
      </c>
      <c r="N81" s="3">
        <f t="shared" si="5"/>
        <v>66</v>
      </c>
    </row>
    <row r="82" spans="3:19" x14ac:dyDescent="0.25">
      <c r="C82" s="1">
        <v>13</v>
      </c>
      <c r="D82" s="3">
        <f t="shared" si="3"/>
        <v>70</v>
      </c>
      <c r="H82" s="1">
        <v>13</v>
      </c>
      <c r="I82" s="3">
        <f t="shared" si="4"/>
        <v>93</v>
      </c>
      <c r="M82" s="1">
        <v>13</v>
      </c>
      <c r="N82" s="3">
        <f t="shared" si="5"/>
        <v>77</v>
      </c>
    </row>
    <row r="83" spans="3:19" x14ac:dyDescent="0.25">
      <c r="C83" s="1">
        <v>14</v>
      </c>
      <c r="D83" s="3">
        <f t="shared" si="3"/>
        <v>100</v>
      </c>
      <c r="H83" s="1">
        <v>14</v>
      </c>
      <c r="I83" s="3">
        <f t="shared" si="4"/>
        <v>100</v>
      </c>
      <c r="M83" s="1">
        <v>14</v>
      </c>
      <c r="N83" s="3">
        <f t="shared" si="5"/>
        <v>23</v>
      </c>
    </row>
    <row r="84" spans="3:19" x14ac:dyDescent="0.25">
      <c r="C84" s="1">
        <v>15</v>
      </c>
      <c r="D84" s="3">
        <f t="shared" si="3"/>
        <v>100</v>
      </c>
      <c r="H84" s="1">
        <v>15</v>
      </c>
      <c r="I84" s="3">
        <f t="shared" si="4"/>
        <v>100</v>
      </c>
      <c r="M84" s="1">
        <v>15</v>
      </c>
      <c r="N84" s="3">
        <f t="shared" si="5"/>
        <v>36</v>
      </c>
    </row>
    <row r="85" spans="3:19" x14ac:dyDescent="0.25">
      <c r="C85" s="1">
        <v>16</v>
      </c>
      <c r="D85" s="3">
        <f t="shared" si="3"/>
        <v>100</v>
      </c>
      <c r="H85" s="1">
        <v>16</v>
      </c>
      <c r="I85" s="3">
        <f t="shared" si="4"/>
        <v>100</v>
      </c>
      <c r="M85" s="1">
        <v>16</v>
      </c>
      <c r="N85" s="3">
        <f t="shared" si="5"/>
        <v>0</v>
      </c>
    </row>
    <row r="86" spans="3:19" x14ac:dyDescent="0.25">
      <c r="C86" s="1">
        <v>17</v>
      </c>
      <c r="D86" s="3">
        <f t="shared" si="3"/>
        <v>100</v>
      </c>
      <c r="H86" s="1">
        <v>17</v>
      </c>
      <c r="I86" s="3">
        <f t="shared" si="4"/>
        <v>100</v>
      </c>
      <c r="M86" s="1">
        <v>17</v>
      </c>
      <c r="N86" s="3">
        <f t="shared" si="5"/>
        <v>13</v>
      </c>
    </row>
    <row r="87" spans="3:19" x14ac:dyDescent="0.25">
      <c r="C87" s="1">
        <v>18</v>
      </c>
      <c r="D87" s="3">
        <f t="shared" si="3"/>
        <v>0</v>
      </c>
      <c r="H87" s="1">
        <v>18</v>
      </c>
      <c r="I87" s="3">
        <f t="shared" si="4"/>
        <v>93</v>
      </c>
      <c r="M87" s="1">
        <v>18</v>
      </c>
      <c r="N87" s="3">
        <f t="shared" si="5"/>
        <v>0</v>
      </c>
    </row>
    <row r="90" spans="3:19" x14ac:dyDescent="0.25">
      <c r="C90" t="s">
        <v>28</v>
      </c>
      <c r="D90" t="s">
        <v>5</v>
      </c>
      <c r="E90" t="s">
        <v>6</v>
      </c>
      <c r="F90" t="s">
        <v>7</v>
      </c>
      <c r="G90" t="s">
        <v>8</v>
      </c>
      <c r="I90" t="s">
        <v>28</v>
      </c>
      <c r="J90" t="s">
        <v>5</v>
      </c>
      <c r="K90" t="s">
        <v>6</v>
      </c>
      <c r="L90" t="s">
        <v>7</v>
      </c>
      <c r="M90" t="s">
        <v>8</v>
      </c>
      <c r="Q90" t="s">
        <v>27</v>
      </c>
    </row>
    <row r="91" spans="3:19" x14ac:dyDescent="0.25">
      <c r="C91" t="s">
        <v>9</v>
      </c>
      <c r="D91">
        <v>70</v>
      </c>
      <c r="E91">
        <v>11</v>
      </c>
      <c r="F91">
        <v>90</v>
      </c>
      <c r="G91" s="7">
        <f>SUMPRODUCT(D91:F91,$Q$91:$S$91)</f>
        <v>78.426438430000005</v>
      </c>
      <c r="I91" t="s">
        <v>9</v>
      </c>
      <c r="J91">
        <v>70</v>
      </c>
      <c r="K91">
        <v>11</v>
      </c>
      <c r="L91">
        <v>90</v>
      </c>
      <c r="M91" s="7">
        <v>78.426438430000005</v>
      </c>
      <c r="N91" t="s">
        <v>29</v>
      </c>
      <c r="Q91" s="4">
        <v>0.21763848</v>
      </c>
      <c r="R91" s="4">
        <v>9.1402430000000007E-2</v>
      </c>
      <c r="S91" s="4">
        <v>0.69095909</v>
      </c>
    </row>
    <row r="92" spans="3:19" x14ac:dyDescent="0.25">
      <c r="C92" t="s">
        <v>10</v>
      </c>
      <c r="D92">
        <v>70</v>
      </c>
      <c r="E92">
        <v>38</v>
      </c>
      <c r="F92">
        <v>100</v>
      </c>
      <c r="G92" s="7">
        <f t="shared" ref="G92:G108" si="6">SUMPRODUCT(D92:F92,$Q$91:$S$91)</f>
        <v>87.803894940000006</v>
      </c>
      <c r="I92" t="s">
        <v>10</v>
      </c>
      <c r="J92">
        <v>70</v>
      </c>
      <c r="K92">
        <v>38</v>
      </c>
      <c r="L92">
        <v>100</v>
      </c>
      <c r="M92" s="7">
        <v>87.803894940000006</v>
      </c>
      <c r="N92" t="s">
        <v>30</v>
      </c>
    </row>
    <row r="93" spans="3:19" x14ac:dyDescent="0.25">
      <c r="C93" t="s">
        <v>11</v>
      </c>
      <c r="D93">
        <v>70</v>
      </c>
      <c r="E93">
        <v>11</v>
      </c>
      <c r="F93">
        <v>66</v>
      </c>
      <c r="G93" s="7">
        <f t="shared" si="6"/>
        <v>61.843420269999996</v>
      </c>
      <c r="I93" t="s">
        <v>11</v>
      </c>
      <c r="J93">
        <v>70</v>
      </c>
      <c r="K93">
        <v>11</v>
      </c>
      <c r="L93">
        <v>66</v>
      </c>
      <c r="M93" s="7">
        <v>61.843420269999996</v>
      </c>
      <c r="N93" t="s">
        <v>31</v>
      </c>
    </row>
    <row r="94" spans="3:19" x14ac:dyDescent="0.25">
      <c r="C94" t="s">
        <v>12</v>
      </c>
      <c r="D94">
        <v>70</v>
      </c>
      <c r="E94">
        <v>38</v>
      </c>
      <c r="F94">
        <v>77</v>
      </c>
      <c r="G94" s="7">
        <f t="shared" si="6"/>
        <v>71.911835870000004</v>
      </c>
      <c r="I94" t="s">
        <v>12</v>
      </c>
      <c r="J94">
        <v>70</v>
      </c>
      <c r="K94">
        <v>38</v>
      </c>
      <c r="L94">
        <v>77</v>
      </c>
      <c r="M94" s="7">
        <v>71.911835870000004</v>
      </c>
      <c r="N94" t="s">
        <v>29</v>
      </c>
    </row>
    <row r="95" spans="3:19" x14ac:dyDescent="0.25">
      <c r="C95" t="s">
        <v>13</v>
      </c>
      <c r="D95">
        <v>100</v>
      </c>
      <c r="E95">
        <v>6</v>
      </c>
      <c r="F95">
        <v>23</v>
      </c>
      <c r="G95" s="7">
        <f t="shared" si="6"/>
        <v>38.204321649999997</v>
      </c>
      <c r="I95" t="s">
        <v>13</v>
      </c>
      <c r="J95">
        <v>100</v>
      </c>
      <c r="K95">
        <v>6</v>
      </c>
      <c r="L95">
        <v>23</v>
      </c>
      <c r="M95" s="7">
        <v>38.204321649999997</v>
      </c>
      <c r="N95" t="s">
        <v>32</v>
      </c>
    </row>
    <row r="96" spans="3:19" x14ac:dyDescent="0.25">
      <c r="C96" t="s">
        <v>14</v>
      </c>
      <c r="D96">
        <v>100</v>
      </c>
      <c r="E96">
        <v>35</v>
      </c>
      <c r="F96">
        <v>36</v>
      </c>
      <c r="G96" s="7">
        <f t="shared" si="6"/>
        <v>49.837460289999996</v>
      </c>
      <c r="I96" t="s">
        <v>14</v>
      </c>
      <c r="J96">
        <v>100</v>
      </c>
      <c r="K96">
        <v>35</v>
      </c>
      <c r="L96">
        <v>36</v>
      </c>
      <c r="M96" s="7">
        <v>49.837460289999996</v>
      </c>
      <c r="N96" t="s">
        <v>33</v>
      </c>
    </row>
    <row r="97" spans="3:19" x14ac:dyDescent="0.25">
      <c r="C97" t="s">
        <v>15</v>
      </c>
      <c r="D97">
        <v>100</v>
      </c>
      <c r="E97">
        <v>6</v>
      </c>
      <c r="F97">
        <v>0</v>
      </c>
      <c r="G97" s="7">
        <f t="shared" si="6"/>
        <v>22.312262579999999</v>
      </c>
      <c r="I97" t="s">
        <v>15</v>
      </c>
      <c r="J97">
        <v>100</v>
      </c>
      <c r="K97">
        <v>6</v>
      </c>
      <c r="L97">
        <v>0</v>
      </c>
      <c r="M97" s="7">
        <v>22.312262579999999</v>
      </c>
      <c r="N97" t="s">
        <v>34</v>
      </c>
    </row>
    <row r="98" spans="3:19" x14ac:dyDescent="0.25">
      <c r="C98" t="s">
        <v>16</v>
      </c>
      <c r="D98">
        <v>100</v>
      </c>
      <c r="E98">
        <v>35</v>
      </c>
      <c r="F98">
        <v>13</v>
      </c>
      <c r="G98" s="7">
        <f t="shared" si="6"/>
        <v>33.945401220000001</v>
      </c>
      <c r="I98" t="s">
        <v>16</v>
      </c>
      <c r="J98">
        <v>100</v>
      </c>
      <c r="K98">
        <v>35</v>
      </c>
      <c r="L98">
        <v>13</v>
      </c>
      <c r="M98" s="7">
        <v>33.945401220000001</v>
      </c>
      <c r="N98" t="s">
        <v>32</v>
      </c>
    </row>
    <row r="99" spans="3:19" x14ac:dyDescent="0.25">
      <c r="C99" t="s">
        <v>17</v>
      </c>
      <c r="D99">
        <v>0</v>
      </c>
      <c r="E99">
        <v>0</v>
      </c>
      <c r="F99">
        <v>0</v>
      </c>
      <c r="G99" s="7">
        <f t="shared" si="6"/>
        <v>0</v>
      </c>
      <c r="I99" t="s">
        <v>17</v>
      </c>
      <c r="J99">
        <v>0</v>
      </c>
      <c r="K99">
        <v>0</v>
      </c>
      <c r="L99">
        <v>0</v>
      </c>
      <c r="M99" s="7">
        <v>0</v>
      </c>
      <c r="N99" t="s">
        <v>35</v>
      </c>
    </row>
    <row r="100" spans="3:19" x14ac:dyDescent="0.25">
      <c r="C100" t="s">
        <v>18</v>
      </c>
      <c r="D100">
        <v>70</v>
      </c>
      <c r="E100">
        <v>93</v>
      </c>
      <c r="F100">
        <v>90</v>
      </c>
      <c r="G100" s="7">
        <f t="shared" si="6"/>
        <v>85.921437690000005</v>
      </c>
      <c r="I100" t="s">
        <v>18</v>
      </c>
      <c r="J100">
        <v>70</v>
      </c>
      <c r="K100">
        <v>93</v>
      </c>
      <c r="L100">
        <v>90</v>
      </c>
      <c r="M100" s="7">
        <v>85.921437690000005</v>
      </c>
      <c r="N100" t="s">
        <v>30</v>
      </c>
    </row>
    <row r="101" spans="3:19" x14ac:dyDescent="0.25">
      <c r="C101" t="s">
        <v>19</v>
      </c>
      <c r="D101">
        <v>70</v>
      </c>
      <c r="E101">
        <v>93</v>
      </c>
      <c r="F101">
        <v>100</v>
      </c>
      <c r="G101" s="7">
        <f t="shared" si="6"/>
        <v>92.831028590000003</v>
      </c>
      <c r="I101" t="s">
        <v>19</v>
      </c>
      <c r="J101" s="5">
        <v>70</v>
      </c>
      <c r="K101" s="5">
        <v>93</v>
      </c>
      <c r="L101" s="5">
        <v>100</v>
      </c>
      <c r="M101" s="7">
        <v>92.831028590000003</v>
      </c>
      <c r="N101" s="6" t="s">
        <v>38</v>
      </c>
    </row>
    <row r="102" spans="3:19" x14ac:dyDescent="0.25">
      <c r="C102" t="s">
        <v>20</v>
      </c>
      <c r="D102">
        <v>70</v>
      </c>
      <c r="E102">
        <v>93</v>
      </c>
      <c r="F102">
        <v>66</v>
      </c>
      <c r="G102" s="7">
        <f t="shared" si="6"/>
        <v>69.338419529999996</v>
      </c>
      <c r="I102" t="s">
        <v>20</v>
      </c>
      <c r="J102">
        <v>70</v>
      </c>
      <c r="K102">
        <v>93</v>
      </c>
      <c r="L102">
        <v>66</v>
      </c>
      <c r="M102" s="7">
        <v>69.338419529999996</v>
      </c>
      <c r="N102" t="s">
        <v>36</v>
      </c>
    </row>
    <row r="103" spans="3:19" x14ac:dyDescent="0.25">
      <c r="C103" t="s">
        <v>21</v>
      </c>
      <c r="D103">
        <v>70</v>
      </c>
      <c r="E103">
        <v>93</v>
      </c>
      <c r="F103">
        <v>77</v>
      </c>
      <c r="G103" s="7">
        <f t="shared" si="6"/>
        <v>76.938969520000001</v>
      </c>
      <c r="I103" t="s">
        <v>21</v>
      </c>
      <c r="J103">
        <v>70</v>
      </c>
      <c r="K103">
        <v>93</v>
      </c>
      <c r="L103">
        <v>77</v>
      </c>
      <c r="M103" s="7">
        <v>76.938969520000001</v>
      </c>
      <c r="N103" t="s">
        <v>30</v>
      </c>
    </row>
    <row r="104" spans="3:19" x14ac:dyDescent="0.25">
      <c r="C104" t="s">
        <v>22</v>
      </c>
      <c r="D104">
        <v>100</v>
      </c>
      <c r="E104">
        <v>100</v>
      </c>
      <c r="F104">
        <v>23</v>
      </c>
      <c r="G104" s="7">
        <f t="shared" si="6"/>
        <v>46.796150070000003</v>
      </c>
      <c r="I104" t="s">
        <v>22</v>
      </c>
      <c r="J104">
        <v>100</v>
      </c>
      <c r="K104">
        <v>100</v>
      </c>
      <c r="L104">
        <v>23</v>
      </c>
      <c r="M104" s="7">
        <v>46.796150070000003</v>
      </c>
      <c r="N104" t="s">
        <v>33</v>
      </c>
    </row>
    <row r="105" spans="3:19" x14ac:dyDescent="0.25">
      <c r="C105" t="s">
        <v>23</v>
      </c>
      <c r="D105">
        <v>100</v>
      </c>
      <c r="E105">
        <v>100</v>
      </c>
      <c r="F105">
        <v>36</v>
      </c>
      <c r="G105" s="7">
        <f t="shared" si="6"/>
        <v>55.77861824</v>
      </c>
      <c r="I105" t="s">
        <v>23</v>
      </c>
      <c r="J105" s="5">
        <v>100</v>
      </c>
      <c r="K105" s="5">
        <v>100</v>
      </c>
      <c r="L105" s="5">
        <v>36</v>
      </c>
      <c r="M105" s="7">
        <v>55.77861824</v>
      </c>
      <c r="N105" s="6" t="s">
        <v>38</v>
      </c>
    </row>
    <row r="106" spans="3:19" x14ac:dyDescent="0.25">
      <c r="C106" t="s">
        <v>24</v>
      </c>
      <c r="D106">
        <v>100</v>
      </c>
      <c r="E106">
        <v>100</v>
      </c>
      <c r="F106">
        <v>0</v>
      </c>
      <c r="G106" s="7">
        <f t="shared" si="6"/>
        <v>30.904091000000001</v>
      </c>
      <c r="I106" t="s">
        <v>24</v>
      </c>
      <c r="J106">
        <v>100</v>
      </c>
      <c r="K106">
        <v>100</v>
      </c>
      <c r="L106">
        <v>0</v>
      </c>
      <c r="M106" s="7">
        <v>30.904091000000001</v>
      </c>
      <c r="N106" t="s">
        <v>37</v>
      </c>
    </row>
    <row r="107" spans="3:19" x14ac:dyDescent="0.25">
      <c r="C107" t="s">
        <v>25</v>
      </c>
      <c r="D107">
        <v>100</v>
      </c>
      <c r="E107">
        <v>100</v>
      </c>
      <c r="F107">
        <v>13</v>
      </c>
      <c r="G107" s="7">
        <f t="shared" si="6"/>
        <v>39.886559169999998</v>
      </c>
      <c r="I107" t="s">
        <v>25</v>
      </c>
      <c r="J107">
        <v>100</v>
      </c>
      <c r="K107">
        <v>100</v>
      </c>
      <c r="L107">
        <v>13</v>
      </c>
      <c r="M107" s="7">
        <v>39.886559169999998</v>
      </c>
      <c r="N107" t="s">
        <v>37</v>
      </c>
    </row>
    <row r="108" spans="3:19" x14ac:dyDescent="0.25">
      <c r="C108" t="s">
        <v>26</v>
      </c>
      <c r="D108">
        <v>0</v>
      </c>
      <c r="E108">
        <v>93</v>
      </c>
      <c r="F108">
        <v>0</v>
      </c>
      <c r="G108" s="7">
        <f t="shared" si="6"/>
        <v>8.5004259900000001</v>
      </c>
      <c r="I108" t="s">
        <v>26</v>
      </c>
      <c r="J108">
        <v>0</v>
      </c>
      <c r="K108">
        <v>93</v>
      </c>
      <c r="L108">
        <v>0</v>
      </c>
      <c r="M108" s="7">
        <v>8.5004259900000001</v>
      </c>
      <c r="N108" t="s">
        <v>30</v>
      </c>
    </row>
    <row r="109" spans="3:19" x14ac:dyDescent="0.25">
      <c r="P109" t="s">
        <v>28</v>
      </c>
      <c r="Q109" t="s">
        <v>5</v>
      </c>
      <c r="R109" t="s">
        <v>6</v>
      </c>
      <c r="S109" t="s">
        <v>7</v>
      </c>
    </row>
    <row r="110" spans="3:19" x14ac:dyDescent="0.25">
      <c r="P110" t="s">
        <v>19</v>
      </c>
      <c r="Q110" s="5">
        <v>70</v>
      </c>
      <c r="R110" s="5">
        <v>93</v>
      </c>
      <c r="S110" s="5">
        <v>100</v>
      </c>
    </row>
    <row r="111" spans="3:19" x14ac:dyDescent="0.25">
      <c r="C111" t="s">
        <v>28</v>
      </c>
      <c r="D111" t="s">
        <v>8</v>
      </c>
      <c r="P111" t="s">
        <v>23</v>
      </c>
      <c r="Q111" s="5">
        <v>100</v>
      </c>
      <c r="R111" s="5">
        <v>100</v>
      </c>
      <c r="S111" s="5">
        <v>36</v>
      </c>
    </row>
    <row r="112" spans="3:19" x14ac:dyDescent="0.25">
      <c r="C112" t="s">
        <v>9</v>
      </c>
      <c r="D112" s="7">
        <v>78.426438430000005</v>
      </c>
    </row>
    <row r="113" spans="3:4" x14ac:dyDescent="0.25">
      <c r="C113" t="s">
        <v>10</v>
      </c>
      <c r="D113" s="7">
        <v>87.803894940000006</v>
      </c>
    </row>
    <row r="114" spans="3:4" x14ac:dyDescent="0.25">
      <c r="C114" t="s">
        <v>11</v>
      </c>
      <c r="D114" s="7">
        <v>61.843420269999996</v>
      </c>
    </row>
    <row r="115" spans="3:4" x14ac:dyDescent="0.25">
      <c r="C115" t="s">
        <v>12</v>
      </c>
      <c r="D115" s="7">
        <v>71.911835870000004</v>
      </c>
    </row>
    <row r="116" spans="3:4" x14ac:dyDescent="0.25">
      <c r="C116" t="s">
        <v>13</v>
      </c>
      <c r="D116" s="7">
        <v>38.204321649999997</v>
      </c>
    </row>
    <row r="117" spans="3:4" x14ac:dyDescent="0.25">
      <c r="C117" t="s">
        <v>14</v>
      </c>
      <c r="D117" s="7">
        <v>49.837460289999996</v>
      </c>
    </row>
    <row r="118" spans="3:4" x14ac:dyDescent="0.25">
      <c r="C118" t="s">
        <v>15</v>
      </c>
      <c r="D118" s="7">
        <v>22.312262579999999</v>
      </c>
    </row>
    <row r="119" spans="3:4" x14ac:dyDescent="0.25">
      <c r="C119" t="s">
        <v>16</v>
      </c>
      <c r="D119" s="7">
        <v>33.945401220000001</v>
      </c>
    </row>
    <row r="120" spans="3:4" x14ac:dyDescent="0.25">
      <c r="C120" t="s">
        <v>17</v>
      </c>
      <c r="D120" s="7">
        <v>0</v>
      </c>
    </row>
    <row r="121" spans="3:4" x14ac:dyDescent="0.25">
      <c r="C121" t="s">
        <v>18</v>
      </c>
      <c r="D121" s="7">
        <v>85.921437690000005</v>
      </c>
    </row>
    <row r="122" spans="3:4" x14ac:dyDescent="0.25">
      <c r="C122" t="s">
        <v>19</v>
      </c>
      <c r="D122" s="7">
        <v>92.831028590000003</v>
      </c>
    </row>
    <row r="123" spans="3:4" x14ac:dyDescent="0.25">
      <c r="C123" t="s">
        <v>20</v>
      </c>
      <c r="D123" s="7">
        <v>69.338419529999996</v>
      </c>
    </row>
    <row r="124" spans="3:4" x14ac:dyDescent="0.25">
      <c r="C124" t="s">
        <v>21</v>
      </c>
      <c r="D124" s="7">
        <v>76.938969520000001</v>
      </c>
    </row>
    <row r="125" spans="3:4" x14ac:dyDescent="0.25">
      <c r="C125" t="s">
        <v>22</v>
      </c>
      <c r="D125" s="7">
        <v>46.796150070000003</v>
      </c>
    </row>
    <row r="126" spans="3:4" x14ac:dyDescent="0.25">
      <c r="C126" t="s">
        <v>23</v>
      </c>
      <c r="D126" s="7">
        <v>55.77861824</v>
      </c>
    </row>
    <row r="127" spans="3:4" x14ac:dyDescent="0.25">
      <c r="C127" t="s">
        <v>24</v>
      </c>
      <c r="D127" s="7">
        <v>30.904091000000001</v>
      </c>
    </row>
    <row r="128" spans="3:4" x14ac:dyDescent="0.25">
      <c r="C128" t="s">
        <v>25</v>
      </c>
      <c r="D128" s="7">
        <v>39.886559169999998</v>
      </c>
    </row>
    <row r="129" spans="3:4" x14ac:dyDescent="0.25">
      <c r="C129" t="s">
        <v>26</v>
      </c>
      <c r="D129" s="7">
        <v>8.5004259900000001</v>
      </c>
    </row>
    <row r="132" spans="3:4" x14ac:dyDescent="0.25">
      <c r="C132" t="s">
        <v>28</v>
      </c>
      <c r="D132" t="s">
        <v>8</v>
      </c>
    </row>
    <row r="133" spans="3:4" x14ac:dyDescent="0.25">
      <c r="C133" t="s">
        <v>19</v>
      </c>
      <c r="D133" s="7">
        <v>92.831028590000003</v>
      </c>
    </row>
    <row r="134" spans="3:4" x14ac:dyDescent="0.25">
      <c r="C134" t="s">
        <v>10</v>
      </c>
      <c r="D134" s="7">
        <v>87.803894940000006</v>
      </c>
    </row>
    <row r="135" spans="3:4" x14ac:dyDescent="0.25">
      <c r="C135" t="s">
        <v>18</v>
      </c>
      <c r="D135" s="7">
        <v>85.921437690000005</v>
      </c>
    </row>
    <row r="136" spans="3:4" x14ac:dyDescent="0.25">
      <c r="C136" t="s">
        <v>9</v>
      </c>
      <c r="D136" s="7">
        <v>78.426438430000005</v>
      </c>
    </row>
    <row r="137" spans="3:4" x14ac:dyDescent="0.25">
      <c r="C137" t="s">
        <v>21</v>
      </c>
      <c r="D137" s="7">
        <v>76.938969520000001</v>
      </c>
    </row>
    <row r="138" spans="3:4" x14ac:dyDescent="0.25">
      <c r="C138" t="s">
        <v>12</v>
      </c>
      <c r="D138" s="7">
        <v>71.911835870000004</v>
      </c>
    </row>
    <row r="139" spans="3:4" x14ac:dyDescent="0.25">
      <c r="C139" t="s">
        <v>20</v>
      </c>
      <c r="D139" s="7">
        <v>69.338419529999996</v>
      </c>
    </row>
    <row r="140" spans="3:4" x14ac:dyDescent="0.25">
      <c r="C140" t="s">
        <v>11</v>
      </c>
      <c r="D140" s="7">
        <v>61.843420269999996</v>
      </c>
    </row>
    <row r="141" spans="3:4" x14ac:dyDescent="0.25">
      <c r="C141" t="s">
        <v>23</v>
      </c>
      <c r="D141" s="7">
        <v>55.77861824</v>
      </c>
    </row>
    <row r="142" spans="3:4" x14ac:dyDescent="0.25">
      <c r="C142" t="s">
        <v>14</v>
      </c>
      <c r="D142" s="7">
        <v>49.837460289999996</v>
      </c>
    </row>
    <row r="143" spans="3:4" x14ac:dyDescent="0.25">
      <c r="C143" t="s">
        <v>22</v>
      </c>
      <c r="D143" s="7">
        <v>46.796150070000003</v>
      </c>
    </row>
    <row r="144" spans="3:4" x14ac:dyDescent="0.25">
      <c r="C144" t="s">
        <v>25</v>
      </c>
      <c r="D144" s="7">
        <v>39.886559169999998</v>
      </c>
    </row>
    <row r="145" spans="3:4" x14ac:dyDescent="0.25">
      <c r="C145" t="s">
        <v>13</v>
      </c>
      <c r="D145" s="7">
        <v>38.204321649999997</v>
      </c>
    </row>
    <row r="146" spans="3:4" x14ac:dyDescent="0.25">
      <c r="C146" t="s">
        <v>16</v>
      </c>
      <c r="D146" s="7">
        <v>33.945401220000001</v>
      </c>
    </row>
    <row r="147" spans="3:4" x14ac:dyDescent="0.25">
      <c r="C147" t="s">
        <v>24</v>
      </c>
      <c r="D147" s="7">
        <v>30.904091000000001</v>
      </c>
    </row>
    <row r="148" spans="3:4" x14ac:dyDescent="0.25">
      <c r="C148" t="s">
        <v>15</v>
      </c>
      <c r="D148" s="7">
        <v>22.312262579999999</v>
      </c>
    </row>
    <row r="149" spans="3:4" x14ac:dyDescent="0.25">
      <c r="C149" t="s">
        <v>26</v>
      </c>
      <c r="D149" s="7">
        <v>8.5004259900000001</v>
      </c>
    </row>
    <row r="150" spans="3:4" x14ac:dyDescent="0.25">
      <c r="C150" t="s">
        <v>17</v>
      </c>
      <c r="D150" s="7">
        <v>0</v>
      </c>
    </row>
  </sheetData>
  <sortState xmlns:xlrd2="http://schemas.microsoft.com/office/spreadsheetml/2017/richdata2" ref="C132:D150">
    <sortCondition descending="1" ref="D132:D150"/>
  </sortState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Kostas</dc:creator>
  <cp:lastModifiedBy>FLORIOS KONSTANTINOS;ΦΛΩΡΙΟΣ ΚΩΝΣΤΑΝΤΙΝΟΣ</cp:lastModifiedBy>
  <dcterms:created xsi:type="dcterms:W3CDTF">2015-06-05T18:19:34Z</dcterms:created>
  <dcterms:modified xsi:type="dcterms:W3CDTF">2025-12-15T00:18:11Z</dcterms:modified>
</cp:coreProperties>
</file>